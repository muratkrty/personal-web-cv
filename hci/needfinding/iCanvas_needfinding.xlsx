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uestionnaire" sheetId="2" state="visible" r:id="rId4"/>
    <sheet name="Codes" sheetId="3" state="visible" r:id="rId5"/>
    <sheet name="Responses" sheetId="4" state="visible" r:id="rId6"/>
    <sheet name="1-Patterns" sheetId="5" state="visible" r:id="rId7"/>
    <sheet name="2-Segments" sheetId="6" state="visible" r:id="rId8"/>
    <sheet name="3-Persona" sheetId="7" state="visible" r:id="rId9"/>
  </sheets>
  <definedNames>
    <definedName function="false" hidden="true" localSheetId="3" name="_xlnm._FilterDatabase" vbProcedure="false">Responses!$A$1:$CF$125</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W1" authorId="0">
      <text>
        <r>
          <rPr>
            <sz val="10"/>
            <rFont val="Arial"/>
            <family val="2"/>
          </rPr>
          <t xml:space="preserve">Derived columns (grey): numeric recodes via INDEX/MATCH on sheet Codes. Purple columns: k-means cluster label and PCA coordinates pasted from the analysis (Excel cannot run k-means).</t>
        </r>
      </text>
    </comment>
  </commentList>
</comments>
</file>

<file path=xl/sharedStrings.xml><?xml version="1.0" encoding="utf-8"?>
<sst xmlns="http://schemas.openxmlformats.org/spreadsheetml/2006/main" count="3784" uniqueCount="1378">
  <si>
    <t xml:space="preserve">iCanvas needfinding: survey data, patterns, segments and a persona</t>
  </si>
  <si>
    <t xml:space="preserve">Human-Computer Interaction (Tilburg University, AIR-Lab). Companion to the Week 02 (UCD &amp; needfinding) and Week 03 (design alternatives) lectures.</t>
  </si>
  <si>
    <t xml:space="preserve">What this workbook is</t>
  </si>
  <si>
    <t xml:space="preserve">A design team is proposing iCanvas, a new lecture management system for Tilburg University. Before ideating, the team ran an anonymous online survey (needfinding) with 124 respondents about how they manage their courses in the current system (Canvas). This workbook contains the questionnaire, the raw responses and the three analysis steps that turn responses into a persona (Cooper et al., About Face): 1. analyse data to find patterns, 2. cluster user segments, 3. write a persona based on a segment.</t>
  </si>
  <si>
    <t xml:space="preserve">Stakeholders (Dix et al.) and who is in the sample</t>
  </si>
  <si>
    <t xml:space="preserve">Stakeholder type</t>
  </si>
  <si>
    <t xml:space="preserve">Who</t>
  </si>
  <si>
    <t xml:space="preserve">In this survey?</t>
  </si>
  <si>
    <t xml:space="preserve">Primary (use iCanvas)</t>
  </si>
  <si>
    <t xml:space="preserve">Students (BSc, MSc, PhD), lecturers/professors, teaching assistants</t>
  </si>
  <si>
    <t xml:space="preserve">Yes: 92 students, 26 lecturers/TAs</t>
  </si>
  <si>
    <t xml:space="preserve">Secondary (provide input / receive output)</t>
  </si>
  <si>
    <t xml:space="preserve">Education office, IT support, library staff; parents; education director</t>
  </si>
  <si>
    <t xml:space="preserve">Partly: 6 support/admin staff</t>
  </si>
  <si>
    <t xml:space="preserve">Tertiary (affected, no direct use)</t>
  </si>
  <si>
    <t xml:space="preserve">Department heads, examination board</t>
  </si>
  <si>
    <t xml:space="preserve">No (interviews planned)</t>
  </si>
  <si>
    <t xml:space="preserve">Facilitating (build / deploy)</t>
  </si>
  <si>
    <t xml:space="preserve">Design team, TiU IT department</t>
  </si>
  <si>
    <t xml:space="preserve">No (they are us)</t>
  </si>
  <si>
    <t xml:space="preserve">Extreme users (slide: Participants)</t>
  </si>
  <si>
    <t xml:space="preserve">Screen-reader / caption / dyslexia users; lecturers who use Canvas all day vs. almost never; students with 24+ h/week of work or care</t>
  </si>
  <si>
    <t xml:space="preserve">Yes, deliberately recruited: 22 with accessibility needs, 25 with 17+ h outside commitments</t>
  </si>
  <si>
    <t xml:space="preserve">Method</t>
  </si>
  <si>
    <t xml:space="preserve">Technique</t>
  </si>
  <si>
    <t xml:space="preserve">Online survey (questionnaire), the needfinding technique highlighted in green on the Week 02 slides. Interviews and observation are the planned follow-up for the surprising findings.</t>
  </si>
  <si>
    <t xml:space="preserve">Instrument</t>
  </si>
  <si>
    <t xml:space="preserve">34 items in 5 sections: A About you (demographics, Muller et al. Table 55.1 style), B Habits (frequency, devices, features, deadline discovery), C Experience (10 Likert statements incl. one inverted duplicate pair, 7-point satisfaction, 5-point difficulty), D Ranking of 6 activities, E three open-ended grand-tour questions. See sheet 'Questionnaire'.</t>
  </si>
  <si>
    <t xml:space="preserve">Question rules applied</t>
  </si>
  <si>
    <t xml:space="preserve">No leading questions ('Is the calendar important to you?'), no 'what would you like in a tool?', no hypotheticals; ask about the last concrete time something happened (grand tour). Close-ended where the universe of answers is known and small; open-ended otherwise. Age asked in ranges and no identifiers collected (privacy).</t>
  </si>
  <si>
    <t xml:space="preserve">Sampling</t>
  </si>
  <si>
    <t xml:space="preserve">Convenience sample through CSAI/DSS mailing lists, the Mensa and the education office, topped up with deliberately recruited extreme users. Respondents are not a random sample of TiU; treat percentages as indicative.</t>
  </si>
  <si>
    <t xml:space="preserve">Period</t>
  </si>
  <si>
    <t xml:space="preserve">8-14 September 2026 (see column 'submitted').</t>
  </si>
  <si>
    <t xml:space="preserve">Analysis</t>
  </si>
  <si>
    <t xml:space="preserve">Descriptive statistics and cross-tabulations (sheet 1-Patterns); k-means clustering on standardised behaviour + attitude features with k chosen by elbow/silhouette and interpretability (sheet 2-Segments); one persona written from the largest segment and short persona candidates for the others (sheet 3-Persona). All statistics on sheets 1 and 2 are live formulas on the Responses sheet; cluster labels and PCA coordinates are pasted values because Excel cannot run k-means.</t>
  </si>
  <si>
    <t xml:space="preserve">Sheet map (follows the persona process on the Week 03 slides)</t>
  </si>
  <si>
    <t xml:space="preserve">Sheet</t>
  </si>
  <si>
    <t xml:space="preserve">Contents</t>
  </si>
  <si>
    <t xml:space="preserve">Persona process step</t>
  </si>
  <si>
    <t xml:space="preserve">Questionnaire</t>
  </si>
  <si>
    <t xml:space="preserve">Every question, its type, answer options, numeric coding and the design rationale.</t>
  </si>
  <si>
    <t xml:space="preserve">Codes</t>
  </si>
  <si>
    <t xml:space="preserve">Lookup table code -&gt; label -&gt; numeric value, used by the formulas.</t>
  </si>
  <si>
    <t xml:space="preserve">Coding</t>
  </si>
  <si>
    <t xml:space="preserve">Responses</t>
  </si>
  <si>
    <t xml:space="preserve">124 simulated respondents, one per row. Codes for single-choice items, 1/0 columns for multi-select items, rank 1-6 per activity, verbatim text. Derived numeric columns and the cluster label are at the right. vis.html reads this sheet.</t>
  </si>
  <si>
    <t xml:space="preserve">1. Collect user needs/data</t>
  </si>
  <si>
    <t xml:space="preserve">1-Patterns</t>
  </si>
  <si>
    <t xml:space="preserve">Sample description, habits, attitudes (means, SD, distributions), reliability of the inverted pair, rankings, cross-tabs, correlations, key patterns.</t>
  </si>
  <si>
    <t xml:space="preserve">2. Analyse data to find patterns</t>
  </si>
  <si>
    <t xml:space="preserve">2-Segments</t>
  </si>
  <si>
    <t xml:space="preserve">k selection, segment sizes, profile matrix per segment, role x segment, PCA map, segment descriptions with quotes.</t>
  </si>
  <si>
    <t xml:space="preserve">3. Cluster user segments</t>
  </si>
  <si>
    <t xml:space="preserve">3-Persona</t>
  </si>
  <si>
    <t xml:space="preserve">Full persona card for the largest segment (template layout), evidence table linking every claim to a statistic, POV statement, How-Might-We questions, persona candidates for the other segments.</t>
  </si>
  <si>
    <t xml:space="preserve">4. Write a persona based on a segment</t>
  </si>
  <si>
    <t xml:space="preserve">Coding conventions</t>
  </si>
  <si>
    <t xml:space="preserve">Single choice</t>
  </si>
  <si>
    <t xml:space="preserve">Stored as the option code (e.g. A1_role = 'bsc'). Sheet 'Codes' maps codes to labels.</t>
  </si>
  <si>
    <t xml:space="preserve">Ordinal scales</t>
  </si>
  <si>
    <t xml:space="preserve">Frequency B1 (1 = less than once a week ... 6 = several times a day), visit length B4 (1-5), outside commitments A7 (0-4), times lost B8 (0-4) follow the numerical equivalences of Muller et al. (Table 55.2). Derived *_v columns hold the numbers.</t>
  </si>
  <si>
    <t xml:space="preserve">Likert C1-C10</t>
  </si>
  <si>
    <t xml:space="preserve">1 = Strongly disagree ... 7 = Strongly agree. C2 is the inverted duplicate of C1; reverse it (8 - C2) before averaging with C1. C11 satisfaction 1-7, C12 difficulty 1-5 (1 = very difficult).</t>
  </si>
  <si>
    <t xml:space="preserve">Multi-select</t>
  </si>
  <si>
    <t xml:space="preserve">One column per option, 1 = selected, 0 = not selected (A8, B2, B5, B6, B9).</t>
  </si>
  <si>
    <t xml:space="preserve">Ranking D1</t>
  </si>
  <si>
    <t xml:space="preserve">One column per activity holding its rank, 1 = most important ... 6 = least important.</t>
  </si>
  <si>
    <t xml:space="preserve">Open text E1-E3</t>
  </si>
  <si>
    <t xml:space="preserve">Verbatim. Empty = skipped.</t>
  </si>
  <si>
    <t xml:space="preserve">Data provenance (read this)</t>
  </si>
  <si>
    <t xml:space="preserve">The responses in this workbook are SIMULATED for teaching. They were generated (seed 2026) from six latent behavioural profiles of Canvas users at a Dutch university, with realistic noise, a straight-liner and skipped optional items, so that the three analysis steps can be demonstrated end to end. Nothing here is a statement about real Tilburg University users. The companion page vis.html reads this Responses sheet when it opens, replays the simulated submissions one by one and runs the same three analysis steps in the browser.</t>
  </si>
  <si>
    <t xml:space="preserve">Companion files: vis.html (reads the Responses sheet of this workbook and runs the same analysis in the browser) and user.html (the same questionnaire as a stand-alone web page for students during the lecture).</t>
  </si>
  <si>
    <t xml:space="preserve">Questionnaire and codebook</t>
  </si>
  <si>
    <t xml:space="preserve">We are a design team from the Human-Computer Interaction course studying how students and staff manage their courses today, before we design a new lecture management system called iCanvas. There are no right or wrong answers; we just want to hear about your experience with the current system (Canvas).  |  Privacy notice shown to respondents: Anonymous and voluntary. We do not ask for your name, student number or e-mail. You can skip any question you prefer not to answer and stop at any time. Answers are used only for the needfinding exercise of the HCI course. Takes about 7 minutes.</t>
  </si>
  <si>
    <t xml:space="preserve">ID</t>
  </si>
  <si>
    <t xml:space="preserve">Section</t>
  </si>
  <si>
    <t xml:space="preserve">Question</t>
  </si>
  <si>
    <t xml:space="preserve">Type</t>
  </si>
  <si>
    <t xml:space="preserve">Answer options</t>
  </si>
  <si>
    <t xml:space="preserve">Numeric coding</t>
  </si>
  <si>
    <t xml:space="preserve">Column(s) in Responses</t>
  </si>
  <si>
    <t xml:space="preserve">Design rationale (lecture slides)</t>
  </si>
  <si>
    <t xml:space="preserve">A1</t>
  </si>
  <si>
    <t xml:space="preserve">About you</t>
  </si>
  <si>
    <t xml:space="preserve">What is your main role at the university?</t>
  </si>
  <si>
    <t xml:space="preserve">Bachelor student  [bsc]
Master student  [msc]
PhD candidate  [phd]
Lecturer / professor  [lecturer]
Teaching assistant  [ta]
Support / admin staff (education office, IT, library)  [staff]</t>
  </si>
  <si>
    <t xml:space="preserve">categorical</t>
  </si>
  <si>
    <t xml:space="preserve">A1_role</t>
  </si>
  <si>
    <t xml:space="preserve">Role first, so needs can be compared across primary stakeholders (students vs. lecturers vs. staff).</t>
  </si>
  <si>
    <t xml:space="preserve">A2</t>
  </si>
  <si>
    <t xml:space="preserve">What is your age?</t>
  </si>
  <si>
    <t xml:space="preserve">17-20  [17-20]
21-24  [21-24]
25-29  [25-29]
30-39  [30-39]
40-49  [40-49]
50 or older  [50+]
Prefer not to say  [na]</t>
  </si>
  <si>
    <t xml:space="preserve">A2_age</t>
  </si>
  <si>
    <t xml:space="preserve">Age in ranges rather than exact age: enough for segmentation, better for privacy (slide: consider privacy of users).</t>
  </si>
  <si>
    <t xml:space="preserve">A3</t>
  </si>
  <si>
    <t xml:space="preserve">How do you identify?</t>
  </si>
  <si>
    <t xml:space="preserve">Female  [female]
Male  [male]
Non-binary / other  [nonbinary]
Prefer not to say  [na]</t>
  </si>
  <si>
    <t xml:space="preserve">A3_gender</t>
  </si>
  <si>
    <t xml:space="preserve">Inclusive options plus 'prefer not to say'; optional.</t>
  </si>
  <si>
    <t xml:space="preserve">A4</t>
  </si>
  <si>
    <t xml:space="preserve">Which school are you mainly affiliated with?</t>
  </si>
  <si>
    <t xml:space="preserve">Humanities &amp; Digital Sciences (TSHD, e.g. CSAI, DSS)  [tshd]
Economics &amp; Management (TiSEM)  [tisem]
Social &amp; Behavioural Sciences (TSB)  [tsb]
Law (TLS)  [tls]
Catholic Theology (TST)  [tst]
Other / more than one  [other]</t>
  </si>
  <si>
    <t xml:space="preserve">A4_school</t>
  </si>
  <si>
    <t xml:space="preserve">School as a proxy for discipline/culture of teaching.</t>
  </si>
  <si>
    <t xml:space="preserve">A5</t>
  </si>
  <si>
    <t xml:space="preserve">Where did you complete most of your secondary education?</t>
  </si>
  <si>
    <t xml:space="preserve">In the Netherlands  [nl]
Elsewhere in Europe  [eu]
Outside Europe  [noneu]
Prefer not to say  [na]</t>
  </si>
  <si>
    <t xml:space="preserve">A5_origin</t>
  </si>
  <si>
    <t xml:space="preserve">Culture proxy that is less intrusive than nationality (slide: age, culture, abilities, technology familiarity...).</t>
  </si>
  <si>
    <t xml:space="preserve">A6</t>
  </si>
  <si>
    <t xml:space="preserve">How many courses are you currently enrolled in or teaching?</t>
  </si>
  <si>
    <t xml:space="preserve">1  [1]
2  [2]
3  [3]
4  [4]
5  [5]
6 or more  [6+]</t>
  </si>
  <si>
    <t xml:space="preserve">1 = 1, 2 = 2, 3 = 3, 4 = 4, 5 = 5, 6+ = 6</t>
  </si>
  <si>
    <t xml:space="preserve">A6_courses</t>
  </si>
  <si>
    <t xml:space="preserve">Load: how many courses compete for attention.</t>
  </si>
  <si>
    <t xml:space="preserve">A7</t>
  </si>
  <si>
    <t xml:space="preserve">Roughly how many hours per week do you spend on commitments outside your study or job (for example a paid side job, or caring for family)?</t>
  </si>
  <si>
    <t xml:space="preserve">None  [0]
1-8 hours  [1-8]
9-16 hours  [9-16]
17-24 hours  [17-24]
More than 24 hours  [25+]</t>
  </si>
  <si>
    <t xml:space="preserve">0 = 0, 1-8 = 1, 9-16 = 2, 17-24 = 3, 25+ = 4</t>
  </si>
  <si>
    <t xml:space="preserve">A7_hours</t>
  </si>
  <si>
    <t xml:space="preserve">Identifies extreme users with heavy outside commitments (jobs, caring). Ordinal, coded 0-4.</t>
  </si>
  <si>
    <t xml:space="preserve">A8</t>
  </si>
  <si>
    <t xml:space="preserve">Do any of the following apply to you when you use digital tools? (select all that apply)</t>
  </si>
  <si>
    <t xml:space="preserve">Multiple choice</t>
  </si>
  <si>
    <t xml:space="preserve">None of these  [none]
I use a screen reader or screen magnification  [screenreader]
I rely on captions or transcripts for audio and video  [captions]
I have dyslexia or another reading-related difference  [dyslexia]
Fine mouse or touch control is difficult for me  [motor]
I prefer high contrast or reduced motion  [contrast]
Prefer not to say  [na]</t>
  </si>
  <si>
    <t xml:space="preserve">1 = selected, 0 = not</t>
  </si>
  <si>
    <t xml:space="preserve">A8_access__&lt;option&gt;</t>
  </si>
  <si>
    <t xml:space="preserve">Abilities/disabilities: recruits the accessibility extreme users; multi-select with exclusive 'none' and 'prefer not to say'.</t>
  </si>
  <si>
    <t xml:space="preserve">A9</t>
  </si>
  <si>
    <t xml:space="preserve">How comfortable are you learning a new piece of software on your own?</t>
  </si>
  <si>
    <t xml:space="preserve">Scale 1-7</t>
  </si>
  <si>
    <t xml:space="preserve">1 = Not at all comfortable ... 7 = Extremely comfortable</t>
  </si>
  <si>
    <t xml:space="preserve">1-7</t>
  </si>
  <si>
    <t xml:space="preserve">A9_tech</t>
  </si>
  <si>
    <t xml:space="preserve">Technology familiarity, 7-point (Table 55.2 style).</t>
  </si>
  <si>
    <t xml:space="preserve">B1</t>
  </si>
  <si>
    <t xml:space="preserve">How you use the current system today</t>
  </si>
  <si>
    <t xml:space="preserve">In a typical teaching week, how often do you open Canvas?</t>
  </si>
  <si>
    <t xml:space="preserve">Less than once a week  [lt1]
About once a week  [1]
2-3 times a week  [2-3]
4-6 times a week  [4-6]
About once a day  [daily]
Several times a day  [several]</t>
  </si>
  <si>
    <t xml:space="preserve">lt1 = 1, 1 = 2, 2-3 = 3, 4-6 = 4, daily = 5, several = 6</t>
  </si>
  <si>
    <t xml:space="preserve">B1_freq</t>
  </si>
  <si>
    <t xml:space="preserve">Frequency scale, close-ended because the universe of answers is known; coded 1-6 like Never...Very often.</t>
  </si>
  <si>
    <t xml:space="preserve">B2</t>
  </si>
  <si>
    <t xml:space="preserve">Which devices have you used to open Canvas in the last 7 days? (select all that apply)</t>
  </si>
  <si>
    <t xml:space="preserve">Laptop  [laptop]
Desktop computer  [desktop]
Smartphone, in the browser  [phone_browser]
Smartphone, in the Canvas app  [phone_app]
Tablet  [tablet]</t>
  </si>
  <si>
    <t xml:space="preserve">B2_devices__&lt;option&gt;</t>
  </si>
  <si>
    <t xml:space="preserve">Multiple choice: more than one answer can be true (slide: types of close-ended questions).</t>
  </si>
  <si>
    <t xml:space="preserve">B3</t>
  </si>
  <si>
    <t xml:space="preserve">Which one device do you use most often for Canvas?</t>
  </si>
  <si>
    <t xml:space="preserve">Laptop  [laptop]
Desktop computer  [desktop]
Smartphone  [phone]
Tablet  [tablet]</t>
  </si>
  <si>
    <t xml:space="preserve">B3_primary</t>
  </si>
  <si>
    <t xml:space="preserve">Single choice: only one 'most used' device is possible per respondent.</t>
  </si>
  <si>
    <t xml:space="preserve">B4</t>
  </si>
  <si>
    <t xml:space="preserve">When you open Canvas, how long does a typical visit last?</t>
  </si>
  <si>
    <t xml:space="preserve">Under 2 minutes  [lt2]
2-5 minutes  [2-5]
5-15 minutes  [5-15]
15-30 minutes  [15-30]
More than 30 minutes  [gt30]</t>
  </si>
  <si>
    <t xml:space="preserve">lt2 = 1, 2-5 = 2, 5-15 = 3, 15-30 = 4, gt30 = 5</t>
  </si>
  <si>
    <t xml:space="preserve">B4_session</t>
  </si>
  <si>
    <t xml:space="preserve">Behaviour, not opinion: how long a visit really lasts (surveys collect habits).</t>
  </si>
  <si>
    <t xml:space="preserve">B5</t>
  </si>
  <si>
    <t xml:space="preserve">Which parts of Canvas did you use in the last 7 days? (select all that apply)</t>
  </si>
  <si>
    <t xml:space="preserve">Announcements  [announcements]
Assignments (submitting or grading)  [assignments]
Grades / feedback  [grades]
Modules or Files (course materials)  [modules]
Calendar / To-do list  [calendar]
Inbox (messages)  [inbox]
Discussions  [discussions]
Quizzes  [quizzes]
Lecture recordings (video)  [recordings]
Groups / People  [groups]
Syllabus page  [syllabus]
None of these  [none]</t>
  </si>
  <si>
    <t xml:space="preserve">B5_features__&lt;option&gt;</t>
  </si>
  <si>
    <t xml:space="preserve">Behaviour in the last 7 days (concrete recall window) instead of 'which features are important to you' (leading).</t>
  </si>
  <si>
    <t xml:space="preserve">B6</t>
  </si>
  <si>
    <t xml:space="preserve">Think of the most recent deadline you dealt with. How did you first find out about it? (select all that apply)</t>
  </si>
  <si>
    <t xml:space="preserve">Canvas calendar or To-do list  [canvas_cal]
Canvas e-mail notification  [email]
Canvas push notification on my phone  [push]
It was announced in class  [in_class]
A classmate or colleague told me (e.g. WhatsApp)  [peer]
The syllabus or course guide  [syllabus]
My own calendar or planner  [own_cal]
I found out late or missed it  [late]</t>
  </si>
  <si>
    <t xml:space="preserve">B6_deadline__&lt;option&gt;</t>
  </si>
  <si>
    <t xml:space="preserve">Grand-tour style recall of the most recent deadline; reveals workarounds such as WhatsApp groups. Includes 'missed it'.</t>
  </si>
  <si>
    <t xml:space="preserve">B7</t>
  </si>
  <si>
    <t xml:space="preserve">Where do you usually notice Canvas notifications?</t>
  </si>
  <si>
    <t xml:space="preserve">In my e-mail inbox  [email]
As push notifications on my phone  [push]
Only when I open Canvas  [inapp]
I have turned notifications off  [off]
I don't know  [dontknow]</t>
  </si>
  <si>
    <t xml:space="preserve">B7_notif</t>
  </si>
  <si>
    <t xml:space="preserve">Where notifications are actually noticed, not where they are sent.</t>
  </si>
  <si>
    <t xml:space="preserve">B8</t>
  </si>
  <si>
    <t xml:space="preserve">In the last 7 days, how many times did you fail to find something you were looking for in Canvas?</t>
  </si>
  <si>
    <t xml:space="preserve">Never  [0]
Once  [1]
2-3 times  [2-3]
4-6 times  [4-6]
More than 6 times  [7+]</t>
  </si>
  <si>
    <t xml:space="preserve">0 = 0, 1 = 1, 2-3 = 2, 4-6 = 3, 7+ = 4</t>
  </si>
  <si>
    <t xml:space="preserve">B8_lost</t>
  </si>
  <si>
    <t xml:space="preserve">Count of failures in a fixed window, coded 0-4.</t>
  </si>
  <si>
    <t xml:space="preserve">B9</t>
  </si>
  <si>
    <t xml:space="preserve">Which other tools do you use to keep track of your courses? (select all that apply)</t>
  </si>
  <si>
    <t xml:space="preserve">Paper planner or notebook  [paper]
Phone or computer calendar (Google, Outlook, Apple)  [calendar]
Notion, Obsidian or OneNote  [notes]
WhatsApp, Signal or Discord group  [chat]
E-mail  [email]
None, I rely on Canvas only  [none]</t>
  </si>
  <si>
    <t xml:space="preserve">B9_tools__&lt;option&gt;</t>
  </si>
  <si>
    <t xml:space="preserve">Workaround tools tell us what the current system fails to do.</t>
  </si>
  <si>
    <t xml:space="preserve">C1</t>
  </si>
  <si>
    <t xml:space="preserve">Your experience</t>
  </si>
  <si>
    <t xml:space="preserve">I can quickly find the course material I need.</t>
  </si>
  <si>
    <t xml:space="preserve">Likert 7-pt</t>
  </si>
  <si>
    <t xml:space="preserve">1 = Strongly disagree
2 = Disagree
3 = Moderately disagree
4 = Neutral
5 = Moderately agree
6 = Agree
7 = Strongly agree</t>
  </si>
  <si>
    <t xml:space="preserve">C1_find_fast</t>
  </si>
  <si>
    <t xml:space="preserve">7-point Likert (Strongly disagree = 1 ... Strongly agree = 7).</t>
  </si>
  <si>
    <t xml:space="preserve">C2</t>
  </si>
  <si>
    <t xml:space="preserve">Finding what I need takes longer than it should.</t>
  </si>
  <si>
    <t xml:space="preserve">1-7 (reverse: 8 - x)</t>
  </si>
  <si>
    <t xml:space="preserve">C2_find_slow</t>
  </si>
  <si>
    <t xml:space="preserve">Inverted duplicate of C1 (slide 'Duplicate pair with inverted question'): reverse-code as 8 - C2; the pair's Cronbach alpha is computed on 1-Patterns.</t>
  </si>
  <si>
    <t xml:space="preserve">C3</t>
  </si>
  <si>
    <t xml:space="preserve">Notifications help me stay on top of what is due.</t>
  </si>
  <si>
    <t xml:space="preserve">C3_notif_useful</t>
  </si>
  <si>
    <t xml:space="preserve">Likert; pairs with C4 to separate useful notifications from noise.</t>
  </si>
  <si>
    <t xml:space="preserve">C4</t>
  </si>
  <si>
    <t xml:space="preserve">I receive notifications that are not relevant to me.</t>
  </si>
  <si>
    <t xml:space="preserve">C4_notif_noise</t>
  </si>
  <si>
    <t xml:space="preserve">Likert; worded so that agreement means a problem (avoids acquiescence bias in one direction).</t>
  </si>
  <si>
    <t xml:space="preserve">C5</t>
  </si>
  <si>
    <t xml:space="preserve">Using the system on my phone works as well as on a computer.</t>
  </si>
  <si>
    <t xml:space="preserve">C5_mobile</t>
  </si>
  <si>
    <t xml:space="preserve">Likert; mobile vs. desktop parity.</t>
  </si>
  <si>
    <t xml:space="preserve">C6</t>
  </si>
  <si>
    <t xml:space="preserve">Course pages are organised in a similar way across my courses.</t>
  </si>
  <si>
    <t xml:space="preserve">C6_consistent</t>
  </si>
  <si>
    <t xml:space="preserve">Likert; consistency across courses.</t>
  </si>
  <si>
    <t xml:space="preserve">C7</t>
  </si>
  <si>
    <t xml:space="preserve">I trust that the grades and feedback I see are up to date.</t>
  </si>
  <si>
    <t xml:space="preserve">C7_uptodate</t>
  </si>
  <si>
    <t xml:space="preserve">Likert; trust in data freshness.</t>
  </si>
  <si>
    <t xml:space="preserve">C8</t>
  </si>
  <si>
    <t xml:space="preserve">I can complete my tasks in the system without asking anyone for help.</t>
  </si>
  <si>
    <t xml:space="preserve">C8_confident</t>
  </si>
  <si>
    <t xml:space="preserve">Likert; self-efficacy / need for help.</t>
  </si>
  <si>
    <t xml:space="preserve">C9</t>
  </si>
  <si>
    <t xml:space="preserve">Text, colours and videos in the system are easy for me to read, see and hear.</t>
  </si>
  <si>
    <t xml:space="preserve">C9_accessible</t>
  </si>
  <si>
    <t xml:space="preserve">Likert; perceived accessibility.</t>
  </si>
  <si>
    <t xml:space="preserve">C10</t>
  </si>
  <si>
    <t xml:space="preserve">Working with others (groups, peer feedback, messaging) is well supported.</t>
  </si>
  <si>
    <t xml:space="preserve">C10_group</t>
  </si>
  <si>
    <t xml:space="preserve">Likert; collaboration support.</t>
  </si>
  <si>
    <t xml:space="preserve">C11</t>
  </si>
  <si>
    <t xml:space="preserve">Overall, how satisfied or dissatisfied are you with the current system?</t>
  </si>
  <si>
    <t xml:space="preserve">1 = Extremely dissatisfied ... 7 = Extremely satisfied</t>
  </si>
  <si>
    <t xml:space="preserve">C11_satisfaction</t>
  </si>
  <si>
    <t xml:space="preserve">Single object rated on one dimension: 7-point satisfaction (slide: close-ended questions).</t>
  </si>
  <si>
    <t xml:space="preserve">C12</t>
  </si>
  <si>
    <t xml:space="preserve">How easy or difficult was the last thing you tried to do in Canvas (for example submitting or grading an assignment, or uploading a file)?</t>
  </si>
  <si>
    <t xml:space="preserve">Scale 1-5</t>
  </si>
  <si>
    <t xml:space="preserve">1 = Very difficult ... 5 = Very easy</t>
  </si>
  <si>
    <t xml:space="preserve">1-5</t>
  </si>
  <si>
    <t xml:space="preserve">C12_ease</t>
  </si>
  <si>
    <t xml:space="preserve">Difficulty of the LAST concrete task, 5-point Very difficult...Very easy (Table 55.2).</t>
  </si>
  <si>
    <t xml:space="preserve">D1</t>
  </si>
  <si>
    <t xml:space="preserve">Your priorities</t>
  </si>
  <si>
    <t xml:space="preserve">Rank these activities by importance to you in a typical week.</t>
  </si>
  <si>
    <t xml:space="preserve">Ranking</t>
  </si>
  <si>
    <t xml:space="preserve">Finding course materials  [materials]
Keeping track of deadlines  [deadlines]
Seeing grades and feedback  [grades]
Communicating with instructors or students  [communication]
Watching lecture recordings  [recordings]
Organising group work  [groupwork]</t>
  </si>
  <si>
    <t xml:space="preserve">rank 1-6 per activity</t>
  </si>
  <si>
    <t xml:space="preserve">D1_rank__&lt;option&gt;</t>
  </si>
  <si>
    <t xml:space="preserve">Ranking: respondents must prioritise as in real life (slide: ranking questions).</t>
  </si>
  <si>
    <t xml:space="preserve">E1</t>
  </si>
  <si>
    <t xml:space="preserve">In your own words</t>
  </si>
  <si>
    <t xml:space="preserve">Think about the last time Canvas frustrated you. What were you trying to do, and what happened?</t>
  </si>
  <si>
    <t xml:space="preserve">Open-ended</t>
  </si>
  <si>
    <t xml:space="preserve">Free text</t>
  </si>
  <si>
    <t xml:space="preserve">E1_frustrate</t>
  </si>
  <si>
    <t xml:space="preserve">Open-ended grand tour, non-leading: 'the last time it frustrated you', not 'what do you dislike'.</t>
  </si>
  <si>
    <t xml:space="preserve">E2</t>
  </si>
  <si>
    <t xml:space="preserve">Think about the last time Canvas really helped you. What were you trying to do, and what happened?</t>
  </si>
  <si>
    <t xml:space="preserve">E2_helped</t>
  </si>
  <si>
    <t xml:space="preserve">Balances E1 (assuming only frustration would be biased framing).</t>
  </si>
  <si>
    <t xml:space="preserve">E3</t>
  </si>
  <si>
    <t xml:space="preserve">Is there anything about how you manage your courses that we haven't asked about, but you think we should know?</t>
  </si>
  <si>
    <t xml:space="preserve">E3_more</t>
  </si>
  <si>
    <t xml:space="preserve">Wrap-up question from the interview structure slide.</t>
  </si>
  <si>
    <t xml:space="preserve">Every question can be skipped in user.html (voluntary participation); an empty cell in Responses means the respondent skipped it. Section D asks for a full ranking.</t>
  </si>
  <si>
    <t xml:space="preserve">lookup</t>
  </si>
  <si>
    <t xml:space="preserve">question</t>
  </si>
  <si>
    <t xml:space="preserve">code</t>
  </si>
  <si>
    <t xml:space="preserve">label</t>
  </si>
  <si>
    <t xml:space="preserve">value</t>
  </si>
  <si>
    <t xml:space="preserve">A1|bsc</t>
  </si>
  <si>
    <t xml:space="preserve">bsc</t>
  </si>
  <si>
    <t xml:space="preserve">Bachelor student</t>
  </si>
  <si>
    <t xml:space="preserve">A1|msc</t>
  </si>
  <si>
    <t xml:space="preserve">msc</t>
  </si>
  <si>
    <t xml:space="preserve">Master student</t>
  </si>
  <si>
    <t xml:space="preserve">A1|phd</t>
  </si>
  <si>
    <t xml:space="preserve">phd</t>
  </si>
  <si>
    <t xml:space="preserve">PhD candidate</t>
  </si>
  <si>
    <t xml:space="preserve">A1|lecturer</t>
  </si>
  <si>
    <t xml:space="preserve">lecturer</t>
  </si>
  <si>
    <t xml:space="preserve">Lecturer / professor</t>
  </si>
  <si>
    <t xml:space="preserve">A1|ta</t>
  </si>
  <si>
    <t xml:space="preserve">ta</t>
  </si>
  <si>
    <t xml:space="preserve">Teaching assistant</t>
  </si>
  <si>
    <t xml:space="preserve">A1|staff</t>
  </si>
  <si>
    <t xml:space="preserve">staff</t>
  </si>
  <si>
    <t xml:space="preserve">Support / admin staff (education office, IT, library)</t>
  </si>
  <si>
    <t xml:space="preserve">A2|17-20</t>
  </si>
  <si>
    <t xml:space="preserve">17-20</t>
  </si>
  <si>
    <t xml:space="preserve">A2|21-24</t>
  </si>
  <si>
    <t xml:space="preserve">21-24</t>
  </si>
  <si>
    <t xml:space="preserve">A2|25-29</t>
  </si>
  <si>
    <t xml:space="preserve">25-29</t>
  </si>
  <si>
    <t xml:space="preserve">A2|30-39</t>
  </si>
  <si>
    <t xml:space="preserve">30-39</t>
  </si>
  <si>
    <t xml:space="preserve">A2|40-49</t>
  </si>
  <si>
    <t xml:space="preserve">40-49</t>
  </si>
  <si>
    <t xml:space="preserve">A2|50+</t>
  </si>
  <si>
    <t xml:space="preserve">50+</t>
  </si>
  <si>
    <t xml:space="preserve">50 or older</t>
  </si>
  <si>
    <t xml:space="preserve">A2|na</t>
  </si>
  <si>
    <t xml:space="preserve">na</t>
  </si>
  <si>
    <t xml:space="preserve">Prefer not to say</t>
  </si>
  <si>
    <t xml:space="preserve">A3|female</t>
  </si>
  <si>
    <t xml:space="preserve">female</t>
  </si>
  <si>
    <t xml:space="preserve">Female</t>
  </si>
  <si>
    <t xml:space="preserve">A3|male</t>
  </si>
  <si>
    <t xml:space="preserve">male</t>
  </si>
  <si>
    <t xml:space="preserve">Male</t>
  </si>
  <si>
    <t xml:space="preserve">A3|nonbinary</t>
  </si>
  <si>
    <t xml:space="preserve">nonbinary</t>
  </si>
  <si>
    <t xml:space="preserve">Non-binary / other</t>
  </si>
  <si>
    <t xml:space="preserve">A3|na</t>
  </si>
  <si>
    <t xml:space="preserve">A4|tshd</t>
  </si>
  <si>
    <t xml:space="preserve">tshd</t>
  </si>
  <si>
    <t xml:space="preserve">Humanities &amp; Digital Sciences (TSHD, e.g. CSAI, DSS)</t>
  </si>
  <si>
    <t xml:space="preserve">A4|tisem</t>
  </si>
  <si>
    <t xml:space="preserve">tisem</t>
  </si>
  <si>
    <t xml:space="preserve">Economics &amp; Management (TiSEM)</t>
  </si>
  <si>
    <t xml:space="preserve">A4|tsb</t>
  </si>
  <si>
    <t xml:space="preserve">tsb</t>
  </si>
  <si>
    <t xml:space="preserve">Social &amp; Behavioural Sciences (TSB)</t>
  </si>
  <si>
    <t xml:space="preserve">A4|tls</t>
  </si>
  <si>
    <t xml:space="preserve">tls</t>
  </si>
  <si>
    <t xml:space="preserve">Law (TLS)</t>
  </si>
  <si>
    <t xml:space="preserve">A4|tst</t>
  </si>
  <si>
    <t xml:space="preserve">tst</t>
  </si>
  <si>
    <t xml:space="preserve">Catholic Theology (TST)</t>
  </si>
  <si>
    <t xml:space="preserve">A4|other</t>
  </si>
  <si>
    <t xml:space="preserve">other</t>
  </si>
  <si>
    <t xml:space="preserve">Other / more than one</t>
  </si>
  <si>
    <t xml:space="preserve">A5|nl</t>
  </si>
  <si>
    <t xml:space="preserve">nl</t>
  </si>
  <si>
    <t xml:space="preserve">In the Netherlands</t>
  </si>
  <si>
    <t xml:space="preserve">A5|eu</t>
  </si>
  <si>
    <t xml:space="preserve">eu</t>
  </si>
  <si>
    <t xml:space="preserve">Elsewhere in Europe</t>
  </si>
  <si>
    <t xml:space="preserve">A5|noneu</t>
  </si>
  <si>
    <t xml:space="preserve">noneu</t>
  </si>
  <si>
    <t xml:space="preserve">Outside Europe</t>
  </si>
  <si>
    <t xml:space="preserve">A5|na</t>
  </si>
  <si>
    <t xml:space="preserve">A6|1</t>
  </si>
  <si>
    <t xml:space="preserve">1</t>
  </si>
  <si>
    <t xml:space="preserve">A6|2</t>
  </si>
  <si>
    <t xml:space="preserve">2</t>
  </si>
  <si>
    <t xml:space="preserve">A6|3</t>
  </si>
  <si>
    <t xml:space="preserve">3</t>
  </si>
  <si>
    <t xml:space="preserve">A6|4</t>
  </si>
  <si>
    <t xml:space="preserve">4</t>
  </si>
  <si>
    <t xml:space="preserve">A6|5</t>
  </si>
  <si>
    <t xml:space="preserve">5</t>
  </si>
  <si>
    <t xml:space="preserve">A6|6+</t>
  </si>
  <si>
    <t xml:space="preserve">6+</t>
  </si>
  <si>
    <t xml:space="preserve">6 or more</t>
  </si>
  <si>
    <t xml:space="preserve">A7|0</t>
  </si>
  <si>
    <t xml:space="preserve">0</t>
  </si>
  <si>
    <t xml:space="preserve">None</t>
  </si>
  <si>
    <t xml:space="preserve">A7|1-8</t>
  </si>
  <si>
    <t xml:space="preserve">1-8</t>
  </si>
  <si>
    <t xml:space="preserve">1-8 hours</t>
  </si>
  <si>
    <t xml:space="preserve">A7|9-16</t>
  </si>
  <si>
    <t xml:space="preserve">9-16</t>
  </si>
  <si>
    <t xml:space="preserve">9-16 hours</t>
  </si>
  <si>
    <t xml:space="preserve">A7|17-24</t>
  </si>
  <si>
    <t xml:space="preserve">17-24</t>
  </si>
  <si>
    <t xml:space="preserve">17-24 hours</t>
  </si>
  <si>
    <t xml:space="preserve">A7|25+</t>
  </si>
  <si>
    <t xml:space="preserve">25+</t>
  </si>
  <si>
    <t xml:space="preserve">More than 24 hours</t>
  </si>
  <si>
    <t xml:space="preserve">A8|none</t>
  </si>
  <si>
    <t xml:space="preserve">none</t>
  </si>
  <si>
    <t xml:space="preserve">None of these</t>
  </si>
  <si>
    <t xml:space="preserve">A8|screenreader</t>
  </si>
  <si>
    <t xml:space="preserve">screenreader</t>
  </si>
  <si>
    <t xml:space="preserve">I use a screen reader or screen magnification</t>
  </si>
  <si>
    <t xml:space="preserve">A8|captions</t>
  </si>
  <si>
    <t xml:space="preserve">captions</t>
  </si>
  <si>
    <t xml:space="preserve">I rely on captions or transcripts for audio and video</t>
  </si>
  <si>
    <t xml:space="preserve">A8|dyslexia</t>
  </si>
  <si>
    <t xml:space="preserve">dyslexia</t>
  </si>
  <si>
    <t xml:space="preserve">I have dyslexia or another reading-related difference</t>
  </si>
  <si>
    <t xml:space="preserve">A8|motor</t>
  </si>
  <si>
    <t xml:space="preserve">motor</t>
  </si>
  <si>
    <t xml:space="preserve">Fine mouse or touch control is difficult for me</t>
  </si>
  <si>
    <t xml:space="preserve">A8|contrast</t>
  </si>
  <si>
    <t xml:space="preserve">contrast</t>
  </si>
  <si>
    <t xml:space="preserve">I prefer high contrast or reduced motion</t>
  </si>
  <si>
    <t xml:space="preserve">A8|na</t>
  </si>
  <si>
    <t xml:space="preserve">B1|lt1</t>
  </si>
  <si>
    <t xml:space="preserve">lt1</t>
  </si>
  <si>
    <t xml:space="preserve">Less than once a week</t>
  </si>
  <si>
    <t xml:space="preserve">B1|1</t>
  </si>
  <si>
    <t xml:space="preserve">About once a week</t>
  </si>
  <si>
    <t xml:space="preserve">B1|2-3</t>
  </si>
  <si>
    <t xml:space="preserve">2-3</t>
  </si>
  <si>
    <t xml:space="preserve">2-3 times a week</t>
  </si>
  <si>
    <t xml:space="preserve">B1|4-6</t>
  </si>
  <si>
    <t xml:space="preserve">4-6</t>
  </si>
  <si>
    <t xml:space="preserve">4-6 times a week</t>
  </si>
  <si>
    <t xml:space="preserve">B1|daily</t>
  </si>
  <si>
    <t xml:space="preserve">daily</t>
  </si>
  <si>
    <t xml:space="preserve">About once a day</t>
  </si>
  <si>
    <t xml:space="preserve">B1|several</t>
  </si>
  <si>
    <t xml:space="preserve">several</t>
  </si>
  <si>
    <t xml:space="preserve">Several times a day</t>
  </si>
  <si>
    <t xml:space="preserve">B2|laptop</t>
  </si>
  <si>
    <t xml:space="preserve">laptop</t>
  </si>
  <si>
    <t xml:space="preserve">Laptop</t>
  </si>
  <si>
    <t xml:space="preserve">B2|desktop</t>
  </si>
  <si>
    <t xml:space="preserve">desktop</t>
  </si>
  <si>
    <t xml:space="preserve">Desktop computer</t>
  </si>
  <si>
    <t xml:space="preserve">B2|phone_browser</t>
  </si>
  <si>
    <t xml:space="preserve">phone_browser</t>
  </si>
  <si>
    <t xml:space="preserve">Smartphone, in the browser</t>
  </si>
  <si>
    <t xml:space="preserve">B2|phone_app</t>
  </si>
  <si>
    <t xml:space="preserve">phone_app</t>
  </si>
  <si>
    <t xml:space="preserve">Smartphone, in the Canvas app</t>
  </si>
  <si>
    <t xml:space="preserve">B2|tablet</t>
  </si>
  <si>
    <t xml:space="preserve">tablet</t>
  </si>
  <si>
    <t xml:space="preserve">Tablet</t>
  </si>
  <si>
    <t xml:space="preserve">B3|laptop</t>
  </si>
  <si>
    <t xml:space="preserve">B3|desktop</t>
  </si>
  <si>
    <t xml:space="preserve">B3|phone</t>
  </si>
  <si>
    <t xml:space="preserve">phone</t>
  </si>
  <si>
    <t xml:space="preserve">Smartphone</t>
  </si>
  <si>
    <t xml:space="preserve">B3|tablet</t>
  </si>
  <si>
    <t xml:space="preserve">B4|lt2</t>
  </si>
  <si>
    <t xml:space="preserve">lt2</t>
  </si>
  <si>
    <t xml:space="preserve">Under 2 minutes</t>
  </si>
  <si>
    <t xml:space="preserve">B4|2-5</t>
  </si>
  <si>
    <t xml:space="preserve">2-5</t>
  </si>
  <si>
    <t xml:space="preserve">2-5 minutes</t>
  </si>
  <si>
    <t xml:space="preserve">B4|5-15</t>
  </si>
  <si>
    <t xml:space="preserve">5-15</t>
  </si>
  <si>
    <t xml:space="preserve">5-15 minutes</t>
  </si>
  <si>
    <t xml:space="preserve">B4|15-30</t>
  </si>
  <si>
    <t xml:space="preserve">15-30</t>
  </si>
  <si>
    <t xml:space="preserve">15-30 minutes</t>
  </si>
  <si>
    <t xml:space="preserve">B4|gt30</t>
  </si>
  <si>
    <t xml:space="preserve">gt30</t>
  </si>
  <si>
    <t xml:space="preserve">More than 30 minutes</t>
  </si>
  <si>
    <t xml:space="preserve">B5|announcements</t>
  </si>
  <si>
    <t xml:space="preserve">announcements</t>
  </si>
  <si>
    <t xml:space="preserve">Announcements</t>
  </si>
  <si>
    <t xml:space="preserve">B5|assignments</t>
  </si>
  <si>
    <t xml:space="preserve">assignments</t>
  </si>
  <si>
    <t xml:space="preserve">Assignments (submitting or grading)</t>
  </si>
  <si>
    <t xml:space="preserve">B5|grades</t>
  </si>
  <si>
    <t xml:space="preserve">grades</t>
  </si>
  <si>
    <t xml:space="preserve">Grades / feedback</t>
  </si>
  <si>
    <t xml:space="preserve">B5|modules</t>
  </si>
  <si>
    <t xml:space="preserve">modules</t>
  </si>
  <si>
    <t xml:space="preserve">Modules or Files (course materials)</t>
  </si>
  <si>
    <t xml:space="preserve">B5|calendar</t>
  </si>
  <si>
    <t xml:space="preserve">calendar</t>
  </si>
  <si>
    <t xml:space="preserve">Calendar / To-do list</t>
  </si>
  <si>
    <t xml:space="preserve">B5|inbox</t>
  </si>
  <si>
    <t xml:space="preserve">inbox</t>
  </si>
  <si>
    <t xml:space="preserve">Inbox (messages)</t>
  </si>
  <si>
    <t xml:space="preserve">B5|discussions</t>
  </si>
  <si>
    <t xml:space="preserve">discussions</t>
  </si>
  <si>
    <t xml:space="preserve">Discussions</t>
  </si>
  <si>
    <t xml:space="preserve">B5|quizzes</t>
  </si>
  <si>
    <t xml:space="preserve">quizzes</t>
  </si>
  <si>
    <t xml:space="preserve">Quizzes</t>
  </si>
  <si>
    <t xml:space="preserve">B5|recordings</t>
  </si>
  <si>
    <t xml:space="preserve">recordings</t>
  </si>
  <si>
    <t xml:space="preserve">Lecture recordings (video)</t>
  </si>
  <si>
    <t xml:space="preserve">B5|groups</t>
  </si>
  <si>
    <t xml:space="preserve">groups</t>
  </si>
  <si>
    <t xml:space="preserve">Groups / People</t>
  </si>
  <si>
    <t xml:space="preserve">B5|syllabus</t>
  </si>
  <si>
    <t xml:space="preserve">syllabus</t>
  </si>
  <si>
    <t xml:space="preserve">Syllabus page</t>
  </si>
  <si>
    <t xml:space="preserve">B5|none</t>
  </si>
  <si>
    <t xml:space="preserve">B6|canvas_cal</t>
  </si>
  <si>
    <t xml:space="preserve">canvas_cal</t>
  </si>
  <si>
    <t xml:space="preserve">Canvas calendar or To-do list</t>
  </si>
  <si>
    <t xml:space="preserve">B6|email</t>
  </si>
  <si>
    <t xml:space="preserve">email</t>
  </si>
  <si>
    <t xml:space="preserve">Canvas e-mail notification</t>
  </si>
  <si>
    <t xml:space="preserve">B6|push</t>
  </si>
  <si>
    <t xml:space="preserve">push</t>
  </si>
  <si>
    <t xml:space="preserve">Canvas push notification on my phone</t>
  </si>
  <si>
    <t xml:space="preserve">B6|in_class</t>
  </si>
  <si>
    <t xml:space="preserve">in_class</t>
  </si>
  <si>
    <t xml:space="preserve">It was announced in class</t>
  </si>
  <si>
    <t xml:space="preserve">B6|peer</t>
  </si>
  <si>
    <t xml:space="preserve">peer</t>
  </si>
  <si>
    <t xml:space="preserve">A classmate or colleague told me (e.g. WhatsApp)</t>
  </si>
  <si>
    <t xml:space="preserve">B6|syllabus</t>
  </si>
  <si>
    <t xml:space="preserve">The syllabus or course guide</t>
  </si>
  <si>
    <t xml:space="preserve">B6|own_cal</t>
  </si>
  <si>
    <t xml:space="preserve">own_cal</t>
  </si>
  <si>
    <t xml:space="preserve">My own calendar or planner</t>
  </si>
  <si>
    <t xml:space="preserve">B6|late</t>
  </si>
  <si>
    <t xml:space="preserve">late</t>
  </si>
  <si>
    <t xml:space="preserve">I found out late or missed it</t>
  </si>
  <si>
    <t xml:space="preserve">B7|email</t>
  </si>
  <si>
    <t xml:space="preserve">In my e-mail inbox</t>
  </si>
  <si>
    <t xml:space="preserve">B7|push</t>
  </si>
  <si>
    <t xml:space="preserve">As push notifications on my phone</t>
  </si>
  <si>
    <t xml:space="preserve">B7|inapp</t>
  </si>
  <si>
    <t xml:space="preserve">inapp</t>
  </si>
  <si>
    <t xml:space="preserve">Only when I open Canvas</t>
  </si>
  <si>
    <t xml:space="preserve">B7|off</t>
  </si>
  <si>
    <t xml:space="preserve">off</t>
  </si>
  <si>
    <t xml:space="preserve">I have turned notifications off</t>
  </si>
  <si>
    <t xml:space="preserve">B7|dontknow</t>
  </si>
  <si>
    <t xml:space="preserve">dontknow</t>
  </si>
  <si>
    <t xml:space="preserve">I don't know</t>
  </si>
  <si>
    <t xml:space="preserve">B8|0</t>
  </si>
  <si>
    <t xml:space="preserve">Never</t>
  </si>
  <si>
    <t xml:space="preserve">B8|1</t>
  </si>
  <si>
    <t xml:space="preserve">Once</t>
  </si>
  <si>
    <t xml:space="preserve">B8|2-3</t>
  </si>
  <si>
    <t xml:space="preserve">2-3 times</t>
  </si>
  <si>
    <t xml:space="preserve">B8|4-6</t>
  </si>
  <si>
    <t xml:space="preserve">4-6 times</t>
  </si>
  <si>
    <t xml:space="preserve">B8|7+</t>
  </si>
  <si>
    <t xml:space="preserve">7+</t>
  </si>
  <si>
    <t xml:space="preserve">More than 6 times</t>
  </si>
  <si>
    <t xml:space="preserve">B9|paper</t>
  </si>
  <si>
    <t xml:space="preserve">paper</t>
  </si>
  <si>
    <t xml:space="preserve">Paper planner or notebook</t>
  </si>
  <si>
    <t xml:space="preserve">B9|calendar</t>
  </si>
  <si>
    <t xml:space="preserve">Phone or computer calendar (Google, Outlook, Apple)</t>
  </si>
  <si>
    <t xml:space="preserve">B9|notes</t>
  </si>
  <si>
    <t xml:space="preserve">notes</t>
  </si>
  <si>
    <t xml:space="preserve">Notion, Obsidian or OneNote</t>
  </si>
  <si>
    <t xml:space="preserve">B9|chat</t>
  </si>
  <si>
    <t xml:space="preserve">chat</t>
  </si>
  <si>
    <t xml:space="preserve">WhatsApp, Signal or Discord group</t>
  </si>
  <si>
    <t xml:space="preserve">B9|email</t>
  </si>
  <si>
    <t xml:space="preserve">E-mail</t>
  </si>
  <si>
    <t xml:space="preserve">B9|none</t>
  </si>
  <si>
    <t xml:space="preserve">None, I rely on Canvas only</t>
  </si>
  <si>
    <t xml:space="preserve">D1|materials</t>
  </si>
  <si>
    <t xml:space="preserve">materials</t>
  </si>
  <si>
    <t xml:space="preserve">Finding course materials</t>
  </si>
  <si>
    <t xml:space="preserve">D1|deadlines</t>
  </si>
  <si>
    <t xml:space="preserve">deadlines</t>
  </si>
  <si>
    <t xml:space="preserve">Keeping track of deadlines</t>
  </si>
  <si>
    <t xml:space="preserve">D1|grades</t>
  </si>
  <si>
    <t xml:space="preserve">Seeing grades and feedback</t>
  </si>
  <si>
    <t xml:space="preserve">D1|communication</t>
  </si>
  <si>
    <t xml:space="preserve">communication</t>
  </si>
  <si>
    <t xml:space="preserve">Communicating with instructors or students</t>
  </si>
  <si>
    <t xml:space="preserve">D1|recordings</t>
  </si>
  <si>
    <t xml:space="preserve">Watching lecture recordings</t>
  </si>
  <si>
    <t xml:space="preserve">D1|groupwork</t>
  </si>
  <si>
    <t xml:space="preserve">groupwork</t>
  </si>
  <si>
    <t xml:space="preserve">Organising group work</t>
  </si>
  <si>
    <t xml:space="preserve">id</t>
  </si>
  <si>
    <t xml:space="preserve">submitted</t>
  </si>
  <si>
    <t xml:space="preserve">A8_access__none</t>
  </si>
  <si>
    <t xml:space="preserve">A8_access__screenreader</t>
  </si>
  <si>
    <t xml:space="preserve">A8_access__captions</t>
  </si>
  <si>
    <t xml:space="preserve">A8_access__dyslexia</t>
  </si>
  <si>
    <t xml:space="preserve">A8_access__motor</t>
  </si>
  <si>
    <t xml:space="preserve">A8_access__contrast</t>
  </si>
  <si>
    <t xml:space="preserve">A8_access__na</t>
  </si>
  <si>
    <t xml:space="preserve">B2_devices__laptop</t>
  </si>
  <si>
    <t xml:space="preserve">B2_devices__desktop</t>
  </si>
  <si>
    <t xml:space="preserve">B2_devices__phone_browser</t>
  </si>
  <si>
    <t xml:space="preserve">B2_devices__phone_app</t>
  </si>
  <si>
    <t xml:space="preserve">B2_devices__tablet</t>
  </si>
  <si>
    <t xml:space="preserve">B5_features__announcements</t>
  </si>
  <si>
    <t xml:space="preserve">B5_features__assignments</t>
  </si>
  <si>
    <t xml:space="preserve">B5_features__grades</t>
  </si>
  <si>
    <t xml:space="preserve">B5_features__modules</t>
  </si>
  <si>
    <t xml:space="preserve">B5_features__calendar</t>
  </si>
  <si>
    <t xml:space="preserve">B5_features__inbox</t>
  </si>
  <si>
    <t xml:space="preserve">B5_features__discussions</t>
  </si>
  <si>
    <t xml:space="preserve">B5_features__quizzes</t>
  </si>
  <si>
    <t xml:space="preserve">B5_features__recordings</t>
  </si>
  <si>
    <t xml:space="preserve">B5_features__groups</t>
  </si>
  <si>
    <t xml:space="preserve">B5_features__syllabus</t>
  </si>
  <si>
    <t xml:space="preserve">B5_features__none</t>
  </si>
  <si>
    <t xml:space="preserve">B6_deadline__canvas_cal</t>
  </si>
  <si>
    <t xml:space="preserve">B6_deadline__email</t>
  </si>
  <si>
    <t xml:space="preserve">B6_deadline__push</t>
  </si>
  <si>
    <t xml:space="preserve">B6_deadline__in_class</t>
  </si>
  <si>
    <t xml:space="preserve">B6_deadline__peer</t>
  </si>
  <si>
    <t xml:space="preserve">B6_deadline__syllabus</t>
  </si>
  <si>
    <t xml:space="preserve">B6_deadline__own_cal</t>
  </si>
  <si>
    <t xml:space="preserve">B6_deadline__late</t>
  </si>
  <si>
    <t xml:space="preserve">B9_tools__paper</t>
  </si>
  <si>
    <t xml:space="preserve">B9_tools__calendar</t>
  </si>
  <si>
    <t xml:space="preserve">B9_tools__notes</t>
  </si>
  <si>
    <t xml:space="preserve">B9_tools__chat</t>
  </si>
  <si>
    <t xml:space="preserve">B9_tools__email</t>
  </si>
  <si>
    <t xml:space="preserve">B9_tools__none</t>
  </si>
  <si>
    <t xml:space="preserve">D1_rank__materials</t>
  </si>
  <si>
    <t xml:space="preserve">D1_rank__deadlines</t>
  </si>
  <si>
    <t xml:space="preserve">D1_rank__grades</t>
  </si>
  <si>
    <t xml:space="preserve">D1_rank__communication</t>
  </si>
  <si>
    <t xml:space="preserve">D1_rank__recordings</t>
  </si>
  <si>
    <t xml:space="preserve">D1_rank__groupwork</t>
  </si>
  <si>
    <t xml:space="preserve">freq_v</t>
  </si>
  <si>
    <t xml:space="preserve">session_v</t>
  </si>
  <si>
    <t xml:space="preserve">hours_v</t>
  </si>
  <si>
    <t xml:space="preserve">lost_v</t>
  </si>
  <si>
    <t xml:space="preserve">courses_v</t>
  </si>
  <si>
    <t xml:space="preserve">phone_primary</t>
  </si>
  <si>
    <t xml:space="preserve">C2_rev</t>
  </si>
  <si>
    <t xml:space="preserve">Segment</t>
  </si>
  <si>
    <t xml:space="preserve">PC1</t>
  </si>
  <si>
    <t xml:space="preserve">PC2</t>
  </si>
  <si>
    <t xml:space="preserve">R001</t>
  </si>
  <si>
    <t xml:space="preserve">2026-09-08 14:10</t>
  </si>
  <si>
    <t xml:space="preserve">Extending a deadline for three students with an arrangement means editing the assignment, adding a section override, and hoping the dates don't shift for everyone else.</t>
  </si>
  <si>
    <t xml:space="preserve">Students see their grades and feedback at the same moment, no more 200 emails.</t>
  </si>
  <si>
    <t xml:space="preserve">S4 Power Instructors</t>
  </si>
  <si>
    <t xml:space="preserve">R002</t>
  </si>
  <si>
    <t xml:space="preserve">2026-09-08 15:54</t>
  </si>
  <si>
    <t xml:space="preserve">I was looking for the reading list for week 4 of Linear Algebra. One lecturer puts readings in Modules, another in Files, another in a PDF under Syllabus. I spent 15 minutes clicking around</t>
  </si>
  <si>
    <t xml:space="preserve">Not much, it does the job.</t>
  </si>
  <si>
    <t xml:space="preserve">A proper reading list with status (read / to read) would be great.</t>
  </si>
  <si>
    <t xml:space="preserve">S2 Structured Scholars</t>
  </si>
  <si>
    <t xml:space="preserve">R003</t>
  </si>
  <si>
    <t xml:space="preserve">2026-09-08 16:10</t>
  </si>
  <si>
    <t xml:space="preserve">The syllabus page was empty in 3 of my 4 courses. The actual course guide was a PDF somewhere in Files.</t>
  </si>
  <si>
    <t xml:space="preserve">The Modules page for Qualitative Methods was set up week by week with readings, slides and the recording in one place. That is how every course should look.</t>
  </si>
  <si>
    <t xml:space="preserve">I use Notion for everything and Canvas is just the place where files live.</t>
  </si>
  <si>
    <t xml:space="preserve">R004</t>
  </si>
  <si>
    <t xml:space="preserve">2026-09-08 16:21</t>
  </si>
  <si>
    <t xml:space="preserve">Uploading a 200 MB recording failed twice without any message.</t>
  </si>
  <si>
    <t xml:space="preserve">Grades were visible to students without me having to send them individually</t>
  </si>
  <si>
    <t xml:space="preserve">Training once a year is not enough; I need help at the moment I am doing it.</t>
  </si>
  <si>
    <t xml:space="preserve">S5 Reluctant Instructors</t>
  </si>
  <si>
    <t xml:space="preserve">R005</t>
  </si>
  <si>
    <t xml:space="preserve">2026-09-08 18:55</t>
  </si>
  <si>
    <t xml:space="preserve">Group project files were spread across Canvas groups, Google Drive and WhatsApp. Canvas Collaborations didn't work with our university accounts.</t>
  </si>
  <si>
    <t xml:space="preserve">R006</t>
  </si>
  <si>
    <t xml:space="preserve">2026-09-08 19:15</t>
  </si>
  <si>
    <t xml:space="preserve">trying to see the deadlines of all courses in one view. Exported the calendar feed to Google Calendar, but half the assignments had no dates so they never appeared.</t>
  </si>
  <si>
    <t xml:space="preserve">The calendar feed into Google Calendar, once the lecturer actually dated everything.</t>
  </si>
  <si>
    <t xml:space="preserve">R007</t>
  </si>
  <si>
    <t xml:space="preserve">2026-09-08 19:34</t>
  </si>
  <si>
    <t xml:space="preserve">Checking my grade for the Deep Learning midterm: the number was there but the class average was hidden, so I couldn't tell if a 6.1 was good or bad.</t>
  </si>
  <si>
    <t xml:space="preserve">The announcement about the room change came right before the lecture; I would have gone to the wrong building.</t>
  </si>
  <si>
    <t xml:space="preserve">S1 Deadline Sprinters</t>
  </si>
  <si>
    <t xml:space="preserve">R008</t>
  </si>
  <si>
    <t xml:space="preserve">2026-09-08 20:46</t>
  </si>
  <si>
    <t xml:space="preserve">Came back after a week of night shifts and the Developmental Psychology module for that week had 14 items. Which of these do I actually need before the tutorial?</t>
  </si>
  <si>
    <t xml:space="preserve">Being able to submit from my phone during a break.</t>
  </si>
  <si>
    <t xml:space="preserve">S3 Overloaded Jugglers</t>
  </si>
  <si>
    <t xml:space="preserve">R009</t>
  </si>
  <si>
    <t xml:space="preserve">2026-09-08 21:06</t>
  </si>
  <si>
    <t xml:space="preserve">I do not use the calendar; my secretary keeps my agenda. But students expect the deadlines to be in Canvas, so there is always a mismatch.</t>
  </si>
  <si>
    <t xml:space="preserve">Nothing comes to mind, honestly.</t>
  </si>
  <si>
    <t xml:space="preserve">R010</t>
  </si>
  <si>
    <t xml:space="preserve">2026-09-08 21:35</t>
  </si>
  <si>
    <t xml:space="preserve">Discussion post for Philosophy of Mind counted as an assignment, so it showed up in my grades as 0 for a week and freaked me out.</t>
  </si>
  <si>
    <t xml:space="preserve">R011</t>
  </si>
  <si>
    <t xml:space="preserve">2026-09-08 23:14</t>
  </si>
  <si>
    <t xml:space="preserve">Wanted to see what is due this week across all my courses. The dashboard cards each show something different and the calendar only shows things the teacher put a date on.</t>
  </si>
  <si>
    <t xml:space="preserve">I basically live in WhatsApp groups for each course; that's where the real info is.</t>
  </si>
  <si>
    <t xml:space="preserve">R012</t>
  </si>
  <si>
    <t xml:space="preserve">2026-09-09 00:21</t>
  </si>
  <si>
    <t xml:space="preserve">Notification emails arrive during my working hours and are gone from my head by the evening. I have missed two small deadlines that way.</t>
  </si>
  <si>
    <t xml:space="preserve">Seeing on Sunday evening exactly what is due in the coming week, at least for the courses that date their assignments.</t>
  </si>
  <si>
    <t xml:space="preserve">a weekly digest of what changed and what is due.</t>
  </si>
  <si>
    <t xml:space="preserve">R013</t>
  </si>
  <si>
    <t xml:space="preserve">2026-09-09 01:46</t>
  </si>
  <si>
    <t xml:space="preserve">nothing really</t>
  </si>
  <si>
    <t xml:space="preserve">R014</t>
  </si>
  <si>
    <t xml:space="preserve">2026-09-09 02:09</t>
  </si>
  <si>
    <t xml:space="preserve">Scanned PDFs uploaded as images: my screen reader reads nothing, and the text-to-speech I use for dyslexia can't read them either.</t>
  </si>
  <si>
    <t xml:space="preserve">S6 Access-First Learners</t>
  </si>
  <si>
    <t xml:space="preserve">R015</t>
  </si>
  <si>
    <t xml:space="preserve">2026-09-09 03:06</t>
  </si>
  <si>
    <t xml:space="preserve">Nothing specific.</t>
  </si>
  <si>
    <t xml:space="preserve">R016</t>
  </si>
  <si>
    <t xml:space="preserve">2026-09-09 04:04</t>
  </si>
  <si>
    <t xml:space="preserve">Notification said 'new comment on your submission'. I opened it, no comment visible. Had to open it on a laptop to see the feedback.</t>
  </si>
  <si>
    <t xml:space="preserve">When the teacher replied to my comment on my submission I saw it immediately in the app.</t>
  </si>
  <si>
    <t xml:space="preserve">R017</t>
  </si>
  <si>
    <t xml:space="preserve">2026-09-09 09:09</t>
  </si>
  <si>
    <t xml:space="preserve">I wanted to quickly check if the lecture was cancelled. Had to go dashboard &gt; course &gt; announcements &gt; scroll. Three taps too many when you are on the bus.</t>
  </si>
  <si>
    <t xml:space="preserve">Seeing the exact time left before a deadline on the assignment page.</t>
  </si>
  <si>
    <t xml:space="preserve">R018</t>
  </si>
  <si>
    <t xml:space="preserve">2026-09-09 09:22</t>
  </si>
  <si>
    <t xml:space="preserve">Downloaded all the slides for Consumer Behaviour to make notes; every file had a different naming scheme, so sorting them in my notes app was manual work.</t>
  </si>
  <si>
    <t xml:space="preserve">Downloading all files of a module in one zip.</t>
  </si>
  <si>
    <t xml:space="preserve">R019</t>
  </si>
  <si>
    <t xml:space="preserve">2026-09-09 09:34</t>
  </si>
  <si>
    <t xml:space="preserve">Modules is one long scroll. There is no overview of the course structure, no 'you are here' and no way to collapse everything with one click.</t>
  </si>
  <si>
    <t xml:space="preserve">R020</t>
  </si>
  <si>
    <t xml:space="preserve">2026-09-09 09:49</t>
  </si>
  <si>
    <t xml:space="preserve">Tried to find the slides for last week on my phone. Modules is a giant list, you scroll for ages, and half the folders are named 'Week X' and half 'Lecture X'.</t>
  </si>
  <si>
    <t xml:space="preserve">The To-do list saved me once: I had forgotten about a quiz and it was there.</t>
  </si>
  <si>
    <t xml:space="preserve">Dark mode.</t>
  </si>
  <si>
    <t xml:space="preserve">R021</t>
  </si>
  <si>
    <t xml:space="preserve">2026-09-09 10:14</t>
  </si>
  <si>
    <t xml:space="preserve">Having every submission I ever made in one place when I wrote my thesis.</t>
  </si>
  <si>
    <t xml:space="preserve">R022</t>
  </si>
  <si>
    <t xml:space="preserve">2026-09-09 11:29</t>
  </si>
  <si>
    <t xml:space="preserve">Annotating a PDF in the built-in viewer is impossible, and downloading each one separately to Zotero takes forever.</t>
  </si>
  <si>
    <t xml:space="preserve">R023</t>
  </si>
  <si>
    <t xml:space="preserve">Discussions are a mess for seminar prep: threads collapse, and there's no way to see what changed since I last visited.</t>
  </si>
  <si>
    <t xml:space="preserve">R024</t>
  </si>
  <si>
    <t xml:space="preserve">2026-09-09 11:53</t>
  </si>
  <si>
    <t xml:space="preserve">Sending an announcement: I wrote it, clicked something and it disappeared. The second time I wrote it in Word first</t>
  </si>
  <si>
    <t xml:space="preserve">R025</t>
  </si>
  <si>
    <t xml:space="preserve">2026-09-09 11:59</t>
  </si>
  <si>
    <t xml:space="preserve">i wanted to re-watch the part of the Statistics 2 lecture about coding the interviews. No chapters, no transcript search, so I scrubbed through 90 minutes.</t>
  </si>
  <si>
    <t xml:space="preserve">A discussion where the lecturer pinned the answers to common questions before the exam.</t>
  </si>
  <si>
    <t xml:space="preserve">Consistency between courses would fix most of my problems.</t>
  </si>
  <si>
    <t xml:space="preserve">R026</t>
  </si>
  <si>
    <t xml:space="preserve">2026-09-09 12:44</t>
  </si>
  <si>
    <t xml:space="preserve">Search in Canvas only searches the current course, and only some things. I wanted a formula from a slide two weeks ago and ended up opening every PDF.</t>
  </si>
  <si>
    <t xml:space="preserve">R027</t>
  </si>
  <si>
    <t xml:space="preserve">2026-09-09 13:26</t>
  </si>
  <si>
    <t xml:space="preserve">I keep a Notion page per course because the Canvas page for Cognitive Science has no structure I can rely on.</t>
  </si>
  <si>
    <t xml:space="preserve">Please make lecturers date their assignments.</t>
  </si>
  <si>
    <t xml:space="preserve">R028</t>
  </si>
  <si>
    <t xml:space="preserve">2026-09-09 13:46</t>
  </si>
  <si>
    <t xml:space="preserve">The gradebook export used commas as decimal separators in some columns and dots in others, and the import back rejected half of them.</t>
  </si>
  <si>
    <t xml:space="preserve">Scheduling all announcements for the block in one go</t>
  </si>
  <si>
    <t xml:space="preserve">I spend more time on course admin than on teaching content.</t>
  </si>
  <si>
    <t xml:space="preserve">R029</t>
  </si>
  <si>
    <t xml:space="preserve">2026-09-09 15:52</t>
  </si>
  <si>
    <t xml:space="preserve">Making groups for the project: the random assignment didn't respect the tutorial sections, so I did it in Excel and re-entered it</t>
  </si>
  <si>
    <t xml:space="preserve">Better analytics per tutorial group.</t>
  </si>
  <si>
    <t xml:space="preserve">R030</t>
  </si>
  <si>
    <t xml:space="preserve">2026-09-09 18:05</t>
  </si>
  <si>
    <t xml:space="preserve">the app logged me out again and the 2FA code took forever. By the time I was in I forgot what I wanted to check.</t>
  </si>
  <si>
    <t xml:space="preserve">Submitting a photo of my handwritten answers from the app worked surprisingly smoothly.</t>
  </si>
  <si>
    <t xml:space="preserve">R031</t>
  </si>
  <si>
    <t xml:space="preserve">2026-09-09 18:32</t>
  </si>
  <si>
    <t xml:space="preserve">Grading 180 submissions in SpeedGrader: the page reloads for every student and the rubric panel collapses each time. Two clicks that cost me hours.</t>
  </si>
  <si>
    <t xml:space="preserve">The analytics showed me that half the class had not opened the reader before the seminar, so I changed the plan.</t>
  </si>
  <si>
    <t xml:space="preserve">R032</t>
  </si>
  <si>
    <t xml:space="preserve">2026-09-09 19:09</t>
  </si>
  <si>
    <t xml:space="preserve">Got a push notification at 23:40 about a new announcement, opened it and it was a reminder that the lecture room changed... for a lecture that was already over.</t>
  </si>
  <si>
    <t xml:space="preserve">R033</t>
  </si>
  <si>
    <t xml:space="preserve">2026-09-09 19:56</t>
  </si>
  <si>
    <t xml:space="preserve">Uploading lecture recordings means going to another platform, then linking back. Half the students never find the link.</t>
  </si>
  <si>
    <t xml:space="preserve">speedGrader with a rubric: grading 60 essays in an afternoon, with reusable comments.</t>
  </si>
  <si>
    <t xml:space="preserve">Bulk actions everywhere: due dates, messages, rubrics.</t>
  </si>
  <si>
    <t xml:space="preserve">R034</t>
  </si>
  <si>
    <t xml:space="preserve">2026-09-09 21:59</t>
  </si>
  <si>
    <t xml:space="preserve">Wanted to check if my Human-Computer Interaction grade was in during the break. The app showed the assignment as 'graded' but the number only appeared after I logged in on my laptop that evening.</t>
  </si>
  <si>
    <t xml:space="preserve">Checking a grade in 5 seconds while waiting for coffee.</t>
  </si>
  <si>
    <t xml:space="preserve">One overview of all deadlines for all courses please.</t>
  </si>
  <si>
    <t xml:space="preserve">R035</t>
  </si>
  <si>
    <t xml:space="preserve">2026-09-09 23:44</t>
  </si>
  <si>
    <t xml:space="preserve">Tried to catch up on Text Mining after two weeks with my kid sick. There's no 'what did I miss' view, so I opened every module item one by one.</t>
  </si>
  <si>
    <t xml:space="preserve">The e-mail digest once a day instead of every announcement, once I found the setting.</t>
  </si>
  <si>
    <t xml:space="preserve">Deadlines on Friday 17:00 instead of Sunday 23:59 would help students with jobs.</t>
  </si>
  <si>
    <t xml:space="preserve">R036</t>
  </si>
  <si>
    <t xml:space="preserve">2026-09-10 01:23</t>
  </si>
  <si>
    <t xml:space="preserve">Tried to publish the course before the block started. Everything looked fine to me but students said it was invisible. There was a small 'unpublished' icon I did not see.</t>
  </si>
  <si>
    <t xml:space="preserve">No.</t>
  </si>
  <si>
    <t xml:space="preserve">R037</t>
  </si>
  <si>
    <t xml:space="preserve">2026-09-10 02:18</t>
  </si>
  <si>
    <t xml:space="preserve">I wanted to enter grades. The gradebook has dozens of columns and I entered them in the wrong assignment column. The education office had to help.</t>
  </si>
  <si>
    <t xml:space="preserve">The TA set everything up and I only had to click publish.</t>
  </si>
  <si>
    <t xml:space="preserve">Let students see my office hours easily.</t>
  </si>
  <si>
    <t xml:space="preserve">R038</t>
  </si>
  <si>
    <t xml:space="preserve">2026-09-10 06:30</t>
  </si>
  <si>
    <t xml:space="preserve">Tried to find the slides for last week on my phone. Modules is a giant list, you scroll for ages, and half the folders are named 'Week X' and half 'Lecture X'</t>
  </si>
  <si>
    <t xml:space="preserve">Just make everything work on the phone.</t>
  </si>
  <si>
    <t xml:space="preserve">R039</t>
  </si>
  <si>
    <t xml:space="preserve">2026-09-10 07:42</t>
  </si>
  <si>
    <t xml:space="preserve">Looking for the room number for the Data Mining exam. It was in an announcement from 3 weeks ago and the app search didn't find it. A friend sent a screenshot on WhatsApp.</t>
  </si>
  <si>
    <t xml:space="preserve">R040</t>
  </si>
  <si>
    <t xml:space="preserve">2026-09-10 08:39</t>
  </si>
  <si>
    <t xml:space="preserve">Trying to enlarge the text on my phone: the app ignores the system font size setting.</t>
  </si>
  <si>
    <t xml:space="preserve">The immersive reader in my browser works fine on Canvas pages when they are real text.</t>
  </si>
  <si>
    <t xml:space="preserve">Accessibility depends entirely on the lecturer. The system should enforce headings, alt text and captions.</t>
  </si>
  <si>
    <t xml:space="preserve">R041</t>
  </si>
  <si>
    <t xml:space="preserve">2026-09-10 09:18</t>
  </si>
  <si>
    <t xml:space="preserve">I get an email for every single submission. I turned notifications off, and then missed a student's question in the Inbox for a week.</t>
  </si>
  <si>
    <t xml:space="preserve">Quiz auto-grading for the weekly checks saves me hours per week.</t>
  </si>
  <si>
    <t xml:space="preserve">R042</t>
  </si>
  <si>
    <t xml:space="preserve">2026-09-10 09:19</t>
  </si>
  <si>
    <t xml:space="preserve">Notifications for every reply in a discussion I posted in once. Had to dig into settings to find out how to mute one course.</t>
  </si>
  <si>
    <t xml:space="preserve">Recordings with the slide timeline let me jump to the part I needed.</t>
  </si>
  <si>
    <t xml:space="preserve">R043</t>
  </si>
  <si>
    <t xml:space="preserve">2026-09-10 13:34</t>
  </si>
  <si>
    <t xml:space="preserve">The app shows the To-do list but tapping an item opens a web view where I have to log in again.</t>
  </si>
  <si>
    <t xml:space="preserve">Fewer emails, more useful pushes.</t>
  </si>
  <si>
    <t xml:space="preserve">R044</t>
  </si>
  <si>
    <t xml:space="preserve">2026-09-10 13:47</t>
  </si>
  <si>
    <t xml:space="preserve">Tried to submit the Developmental Psychology assignment from my phone 10 minutes before the deadline. The file picker didn't let me pick the PDF from my drive and I had to run to the library.</t>
  </si>
  <si>
    <t xml:space="preserve">The push notification that my Programming 1 grade was published, right when I was on the train.</t>
  </si>
  <si>
    <t xml:space="preserve">R045</t>
  </si>
  <si>
    <t xml:space="preserve">2026-09-10 16:54</t>
  </si>
  <si>
    <t xml:space="preserve">slow to load on the campus wifi, especially the Files page.</t>
  </si>
  <si>
    <t xml:space="preserve">R046</t>
  </si>
  <si>
    <t xml:space="preserve">2026-09-10 19:32</t>
  </si>
  <si>
    <t xml:space="preserve">we maintain a course template, but lecturers can delete the structure with one click and then the support questions start.</t>
  </si>
  <si>
    <t xml:space="preserve">R047</t>
  </si>
  <si>
    <t xml:space="preserve">2026-09-10 19:54</t>
  </si>
  <si>
    <t xml:space="preserve">Missed a group meeting because the invite was only posted in the Canvas group discussion, and I don't get emails for those.</t>
  </si>
  <si>
    <t xml:space="preserve">Reminders for deadlines.</t>
  </si>
  <si>
    <t xml:space="preserve">R048</t>
  </si>
  <si>
    <t xml:space="preserve">2026-09-10 22:50</t>
  </si>
  <si>
    <t xml:space="preserve">Peer review assignment: I could not see who was assigned to whom without opening every submission.</t>
  </si>
  <si>
    <t xml:space="preserve">R049</t>
  </si>
  <si>
    <t xml:space="preserve">2026-09-10 22:57</t>
  </si>
  <si>
    <t xml:space="preserve">I submitted the Developmental Psychology assignment from my phone during my lunch break and got no confirmation email. Spent the whole shift wondering if it went through.</t>
  </si>
  <si>
    <t xml:space="preserve">I have two kids. I need to know in one minute whether anything changed</t>
  </si>
  <si>
    <t xml:space="preserve">R050</t>
  </si>
  <si>
    <t xml:space="preserve">2026-09-11 00:07</t>
  </si>
  <si>
    <t xml:space="preserve">A file was replaced by the lecturer, but the old version was still cached in the app. I studied the wrong version for a day.</t>
  </si>
  <si>
    <t xml:space="preserve">Not much, it does the job</t>
  </si>
  <si>
    <t xml:space="preserve">R051</t>
  </si>
  <si>
    <t xml:space="preserve">2026-09-11 03:14</t>
  </si>
  <si>
    <t xml:space="preserve">Checking my grade for the Philosophy of Mind midterm: the number was there but the class average was hidden, so I couldn't tell if a 6.1 was good or bad.</t>
  </si>
  <si>
    <t xml:space="preserve">I basically live in WhatsApp groups for each course; that's where the real info is</t>
  </si>
  <si>
    <t xml:space="preserve">R052</t>
  </si>
  <si>
    <t xml:space="preserve">2026-09-11 04:17</t>
  </si>
  <si>
    <t xml:space="preserve">Deadline was at 23:59 but the app showed a different time after I came back from holiday. I panicked and submitted at 22:00 just to be safe</t>
  </si>
  <si>
    <t xml:space="preserve">R053</t>
  </si>
  <si>
    <t xml:space="preserve">2026-09-11 06:26</t>
  </si>
  <si>
    <t xml:space="preserve">Students come to the desk asking where a grade is and I can't see what they see, so I ask them to turn their laptop around.</t>
  </si>
  <si>
    <t xml:space="preserve">Masquerading as a student to see exactly what they see, when we are allowed to.</t>
  </si>
  <si>
    <t xml:space="preserve">R054</t>
  </si>
  <si>
    <t xml:space="preserve">2026-09-11 10:08</t>
  </si>
  <si>
    <t xml:space="preserve">i get like 12 emails a day from Canvas. I stopped reading them, and then I missed a change in the deadline for Philosophy of Mind</t>
  </si>
  <si>
    <t xml:space="preserve">R055</t>
  </si>
  <si>
    <t xml:space="preserve">2026-09-11 12:37</t>
  </si>
  <si>
    <t xml:space="preserve">The system asked me to set up two-factor authentication on a new phone in the middle of a lecture.</t>
  </si>
  <si>
    <t xml:space="preserve">Students could see the slides right after the lecture without me emailing them.</t>
  </si>
  <si>
    <t xml:space="preserve">R056</t>
  </si>
  <si>
    <t xml:space="preserve">2026-09-11 13:28</t>
  </si>
  <si>
    <t xml:space="preserve">students emailed me at 23:50 because the upload failed. I could not see any error on my side, the submission just wasn't there.</t>
  </si>
  <si>
    <t xml:space="preserve">Seeing at a glance who has not submitted and messaging them in one go</t>
  </si>
  <si>
    <t xml:space="preserve">R057</t>
  </si>
  <si>
    <t xml:space="preserve">2026-09-11 15:19</t>
  </si>
  <si>
    <t xml:space="preserve">Wanted to compare my rubric score with the criteria. They open in a side panel that cuts off the text, and the comments were in yet another tab.</t>
  </si>
  <si>
    <t xml:space="preserve">R058</t>
  </si>
  <si>
    <t xml:space="preserve">2026-09-11 15:31</t>
  </si>
  <si>
    <t xml:space="preserve">Wanted to watch the recording of a lecture I missed because of work. It was uploaded four days later, with no notification.</t>
  </si>
  <si>
    <t xml:space="preserve">An extension request through the assignment page; the teacher approved it within an hour.</t>
  </si>
  <si>
    <t xml:space="preserve">R059</t>
  </si>
  <si>
    <t xml:space="preserve">2026-09-11 16:14</t>
  </si>
  <si>
    <t xml:space="preserve">Slow to load on the campus wifi, especially the Files page.</t>
  </si>
  <si>
    <t xml:space="preserve">The lecturer of Consumer Behaviour posted a weekly 'what to do this week' announcement. In that course I never fell behind.</t>
  </si>
  <si>
    <t xml:space="preserve">R060</t>
  </si>
  <si>
    <t xml:space="preserve">2026-09-11 16:21</t>
  </si>
  <si>
    <t xml:space="preserve">Re-using a rubric across two courses: you can, but the rubric gets duplicated and any fix must be repeated.</t>
  </si>
  <si>
    <t xml:space="preserve">R061</t>
  </si>
  <si>
    <t xml:space="preserve">2026-09-11 17:21</t>
  </si>
  <si>
    <t xml:space="preserve">Recordings. Without them I could not follow the course while working.</t>
  </si>
  <si>
    <t xml:space="preserve">I have two kids. I need to know in one minute whether anything changed.</t>
  </si>
  <si>
    <t xml:space="preserve">R062</t>
  </si>
  <si>
    <t xml:space="preserve">2026-09-11 17:53</t>
  </si>
  <si>
    <t xml:space="preserve">Emails from Canvas all look the same, 'New announcement in course X'. The important one about exam registration got lost between reminders.</t>
  </si>
  <si>
    <t xml:space="preserve">The lecturer of Text Mining posted a weekly 'what to do this week' announcement. In that course I never fell behind.</t>
  </si>
  <si>
    <t xml:space="preserve">R063</t>
  </si>
  <si>
    <t xml:space="preserve">2026-09-11 21:03</t>
  </si>
  <si>
    <t xml:space="preserve">R064</t>
  </si>
  <si>
    <t xml:space="preserve">2026-09-11 21:17</t>
  </si>
  <si>
    <t xml:space="preserve">I tried to see who was in my tutorial group. The People page listed 300 students from all sections and I could not filter them.</t>
  </si>
  <si>
    <t xml:space="preserve">R065</t>
  </si>
  <si>
    <t xml:space="preserve">2026-09-11 21:45</t>
  </si>
  <si>
    <t xml:space="preserve">Checking whether a student really submitted before the deadline: the submission log is hard to read and the time zone is ambiguous.</t>
  </si>
  <si>
    <t xml:space="preserve">Masquerading as a student to see exactly what they see, when we are allowed to</t>
  </si>
  <si>
    <t xml:space="preserve">R066</t>
  </si>
  <si>
    <t xml:space="preserve">2026-09-12 00:37</t>
  </si>
  <si>
    <t xml:space="preserve">grades for Machine Learning came in for everyone else but mine said 'submitted' for two days. Turned out I had uploaded the wrong file and nobody told me.</t>
  </si>
  <si>
    <t xml:space="preserve">R067</t>
  </si>
  <si>
    <t xml:space="preserve">2026-09-12 01:18</t>
  </si>
  <si>
    <t xml:space="preserve">setting up the the thesis circle course for the new year: copying the course from last year carried over old due dates that I had to fix one by one, 22 assignments.</t>
  </si>
  <si>
    <t xml:space="preserve">Copying a course from last year, even with the date problem, beats starting from scratch.</t>
  </si>
  <si>
    <t xml:space="preserve">R068</t>
  </si>
  <si>
    <t xml:space="preserve">2026-09-12 05:26</t>
  </si>
  <si>
    <t xml:space="preserve">Can't find where the lecturer said what is graded and what is optional. It was mentioned in the lecture I missed.</t>
  </si>
  <si>
    <t xml:space="preserve">R069</t>
  </si>
  <si>
    <t xml:space="preserve">2026-09-12 11:09</t>
  </si>
  <si>
    <t xml:space="preserve">the recordings for Intro to Economics are in a separate tool that opens in a new tab, and the link is buried in a module item with no thumbnail. I bookmark it because I can never find it twice.</t>
  </si>
  <si>
    <t xml:space="preserve">The Modules page for Machine Learning was set up week by week with readings, slides and the recording in one place. That is how every course should look.</t>
  </si>
  <si>
    <t xml:space="preserve">R070</t>
  </si>
  <si>
    <t xml:space="preserve">2026-09-12 11:22</t>
  </si>
  <si>
    <t xml:space="preserve">Recordings uploaded the same day.</t>
  </si>
  <si>
    <t xml:space="preserve">R071</t>
  </si>
  <si>
    <t xml:space="preserve">2026-09-12 12:13</t>
  </si>
  <si>
    <t xml:space="preserve">a file was replaced by the lecturer, but the old version was still cached in the app. I studied the wrong version for a day.</t>
  </si>
  <si>
    <t xml:space="preserve">Let me search across all courses and inside PDFs.</t>
  </si>
  <si>
    <t xml:space="preserve">R072</t>
  </si>
  <si>
    <t xml:space="preserve">2026-09-12 14:21</t>
  </si>
  <si>
    <t xml:space="preserve">For Human-Computer Interaction the lecturer uploaded v1, v2 and v2_final of the slides in the same folder. No way to tell which one is current without opening all three.</t>
  </si>
  <si>
    <t xml:space="preserve">R073</t>
  </si>
  <si>
    <t xml:space="preserve">2026-09-12 14:40</t>
  </si>
  <si>
    <t xml:space="preserve">Deadlines at 23:59 on weekdays are hard when you work evenings. I found out about the Research Methods quiz window on the day it closed.</t>
  </si>
  <si>
    <t xml:space="preserve">R074</t>
  </si>
  <si>
    <t xml:space="preserve">2026-09-12 16:11</t>
  </si>
  <si>
    <t xml:space="preserve">I wanted to reply to a student's comment on a submission and could not find where to type. Ended up emailing them.</t>
  </si>
  <si>
    <t xml:space="preserve">Announcements reach everybody at once, unlike my email list which is always outdated.</t>
  </si>
  <si>
    <t xml:space="preserve">I rely on my TA for everything in Canvas.</t>
  </si>
  <si>
    <t xml:space="preserve">R075</t>
  </si>
  <si>
    <t xml:space="preserve">2026-09-12 16:34</t>
  </si>
  <si>
    <t xml:space="preserve">Videos with no transcript and no captions in Corporate Finance; the lecture was the only place where the exam format was explained.</t>
  </si>
  <si>
    <t xml:space="preserve">the extra time setting worked for the exam quiz once the lecturer set it.</t>
  </si>
  <si>
    <t xml:space="preserve">ask disabled students before you design; we are not an edge case.</t>
  </si>
  <si>
    <t xml:space="preserve">R076</t>
  </si>
  <si>
    <t xml:space="preserve">2026-09-12 16:46</t>
  </si>
  <si>
    <t xml:space="preserve">Grades for Qualitative Methods came in for everyone else but mine said 'submitted' for two days. Turned out I had uploaded the wrong file and nobody told me.</t>
  </si>
  <si>
    <t xml:space="preserve">R077</t>
  </si>
  <si>
    <t xml:space="preserve">2026-09-12 17:14</t>
  </si>
  <si>
    <t xml:space="preserve">Wanted to check if my Consumer Behaviour grade was in during the break. The app showed the assignment as 'graded' but the number only appeared after I logged in on my laptop that evening.</t>
  </si>
  <si>
    <t xml:space="preserve">R078</t>
  </si>
  <si>
    <t xml:space="preserve">2026-09-12 17:24</t>
  </si>
  <si>
    <t xml:space="preserve">The app logged me out again and the 2FA code took forever. By the time I was in I forgot what I wanted to check.</t>
  </si>
  <si>
    <t xml:space="preserve">R079</t>
  </si>
  <si>
    <t xml:space="preserve">2026-09-12 18:07</t>
  </si>
  <si>
    <t xml:space="preserve">An announcement I scheduled for Monday 08:00 went out Sunday evening because the time zone reverted. Students thought there was a change of plan.</t>
  </si>
  <si>
    <t xml:space="preserve">R080</t>
  </si>
  <si>
    <t xml:space="preserve">2026-09-12 20:44</t>
  </si>
  <si>
    <t xml:space="preserve">Wanted to see if the Deep Learning quiz was still open. Had to open the course, then Quizzes, then scroll. On the phone it kept reloading.</t>
  </si>
  <si>
    <t xml:space="preserve">Let me see the class average next to my grade.</t>
  </si>
  <si>
    <t xml:space="preserve">R081</t>
  </si>
  <si>
    <t xml:space="preserve">2026-09-12 21:23</t>
  </si>
  <si>
    <t xml:space="preserve">i can only study on Sunday. I opened Canvas and had 10 unread announcements from 4 courses. No way to see which ones actually require me to do something.</t>
  </si>
  <si>
    <t xml:space="preserve">R082</t>
  </si>
  <si>
    <t xml:space="preserve">2026-09-12 21:52</t>
  </si>
  <si>
    <t xml:space="preserve">Lecture recordings for Research Methods have auto-captions that turn 'Bayesian' into 'basin'. I stopped watching them and asked for the slides instead.</t>
  </si>
  <si>
    <t xml:space="preserve">R083</t>
  </si>
  <si>
    <t xml:space="preserve">2026-09-12 22:25</t>
  </si>
  <si>
    <t xml:space="preserve">R084</t>
  </si>
  <si>
    <t xml:space="preserve">2026-09-12 22:53</t>
  </si>
  <si>
    <t xml:space="preserve">R085</t>
  </si>
  <si>
    <t xml:space="preserve">2026-09-12 23:12</t>
  </si>
  <si>
    <t xml:space="preserve">Keyboard navigation in the calendar traps you in the month grid; I couldn't get to the assignment link.</t>
  </si>
  <si>
    <t xml:space="preserve">Transcripts of the Marketing Analytics recordings were edited by the TA, so I could actually search them.</t>
  </si>
  <si>
    <t xml:space="preserve">R086</t>
  </si>
  <si>
    <t xml:space="preserve">2026-09-13 00:02</t>
  </si>
  <si>
    <t xml:space="preserve">Got a push notification at 23:40 about a new announcement, opened it and it was a reminder that the lecture room changed... for a lecture that was already over</t>
  </si>
  <si>
    <t xml:space="preserve">seeing the exact time left before a deadline on the assignment page.</t>
  </si>
  <si>
    <t xml:space="preserve">R087</t>
  </si>
  <si>
    <t xml:space="preserve">2026-09-13 02:05</t>
  </si>
  <si>
    <t xml:space="preserve">I wanted to see my total workload for the block. Nothing in Canvas shows that; I ended up building a spreadsheet.</t>
  </si>
  <si>
    <t xml:space="preserve">I work 24 hours a week; my study time is Sunday and Wednesday evening. Anything that makes catching up faster helps.</t>
  </si>
  <si>
    <t xml:space="preserve">R088</t>
  </si>
  <si>
    <t xml:space="preserve">2026-09-13 03:52</t>
  </si>
  <si>
    <t xml:space="preserve">R089</t>
  </si>
  <si>
    <t xml:space="preserve">2026-09-13 04:07</t>
  </si>
  <si>
    <t xml:space="preserve">Students in Deep Learning kept asking where the slides were. They were in Modules, published, but the course navigation still showed Files first.</t>
  </si>
  <si>
    <t xml:space="preserve">R090</t>
  </si>
  <si>
    <t xml:space="preserve">2026-09-13 05:58</t>
  </si>
  <si>
    <t xml:space="preserve">group project files were spread across Canvas groups, Google Drive and WhatsApp. Canvas Collaborations didn't work with our university accounts.</t>
  </si>
  <si>
    <t xml:space="preserve">the Modules page for Human-Computer Interaction was set up week by week with readings, slides and the recording in one place. That is how every course should look</t>
  </si>
  <si>
    <t xml:space="preserve">R091</t>
  </si>
  <si>
    <t xml:space="preserve">2026-09-13 06:18</t>
  </si>
  <si>
    <t xml:space="preserve">Long announcements are one wall of text with no headings, hard for me to parse. I copy them into a reader app first</t>
  </si>
  <si>
    <t xml:space="preserve">Let me set my own font size and contrast once, for all courses.</t>
  </si>
  <si>
    <t xml:space="preserve">R092</t>
  </si>
  <si>
    <t xml:space="preserve">2026-09-13 07:06</t>
  </si>
  <si>
    <t xml:space="preserve">The dashboard shows courses from last year first.</t>
  </si>
  <si>
    <t xml:space="preserve">Good luck with the project!</t>
  </si>
  <si>
    <t xml:space="preserve">R093</t>
  </si>
  <si>
    <t xml:space="preserve">2026-09-13 07:44</t>
  </si>
  <si>
    <t xml:space="preserve">Every course sends the same info in a different way. I have a paper list of what to check where, and it still fails.</t>
  </si>
  <si>
    <t xml:space="preserve">R094</t>
  </si>
  <si>
    <t xml:space="preserve">2026-09-13 07:48</t>
  </si>
  <si>
    <t xml:space="preserve">I wanted to upload the slides after the lecture. It asked whether to put them in Files or Modules or Pages. I still don't know the difference; the TA fixed it later.</t>
  </si>
  <si>
    <t xml:space="preserve">R095</t>
  </si>
  <si>
    <t xml:space="preserve">2026-09-13 09:21</t>
  </si>
  <si>
    <t xml:space="preserve">The recordings for Developmental Psychology are in a separate tool that opens in a new tab, and the link is buried in a module item with no thumbnail. I bookmark it because I can never find it twice.</t>
  </si>
  <si>
    <t xml:space="preserve">A rubric with comments per criterion made the feedback actually useful.</t>
  </si>
  <si>
    <t xml:space="preserve">R096</t>
  </si>
  <si>
    <t xml:space="preserve">2026-09-13 09:59</t>
  </si>
  <si>
    <t xml:space="preserve">For Intro to Economics the lecturer uploaded v1, v2 and v2_final of the slides in the same folder. No way to tell which one is current without opening all three.</t>
  </si>
  <si>
    <t xml:space="preserve">R097</t>
  </si>
  <si>
    <t xml:space="preserve">2026-09-13 10:59</t>
  </si>
  <si>
    <t xml:space="preserve">Every year the interface has changed a little and the button I remember is somewhere else.</t>
  </si>
  <si>
    <t xml:space="preserve">R098</t>
  </si>
  <si>
    <t xml:space="preserve">2026-09-13 12:16</t>
  </si>
  <si>
    <t xml:space="preserve">R099</t>
  </si>
  <si>
    <t xml:space="preserve">2026-09-13 16:10</t>
  </si>
  <si>
    <t xml:space="preserve">a timed quiz did not give me my extra time even though it was arranged; the setting is per quiz and the lecturer forgot.</t>
  </si>
  <si>
    <t xml:space="preserve">being able to download the PDF and open it in my own reader instead of the built-in viewer.</t>
  </si>
  <si>
    <t xml:space="preserve">R100</t>
  </si>
  <si>
    <t xml:space="preserve">2026-09-13 16:50</t>
  </si>
  <si>
    <t xml:space="preserve">Between work shifts I checked my email and saw a Canvas mail from Monday saying the Qualitative Methods deadline was moved earlier. I had already planned my weekend around the old date</t>
  </si>
  <si>
    <t xml:space="preserve">R101</t>
  </si>
  <si>
    <t xml:space="preserve">2026-09-13 16:56</t>
  </si>
  <si>
    <t xml:space="preserve">could not find the exam location; it was in an announcement, not in the calendar.</t>
  </si>
  <si>
    <t xml:space="preserve">Dark mode</t>
  </si>
  <si>
    <t xml:space="preserve">R102</t>
  </si>
  <si>
    <t xml:space="preserve">2026-09-13 17:15</t>
  </si>
  <si>
    <t xml:space="preserve">It logged me out and I lost the text of a long post.</t>
  </si>
  <si>
    <t xml:space="preserve">Fewer places to put the same information.</t>
  </si>
  <si>
    <t xml:space="preserve">R103</t>
  </si>
  <si>
    <t xml:space="preserve">Tried to submit the Human-Computer Interaction assignment from my phone 10 minutes before the deadline. The file picker didn't let me pick the PDF from my drive and I had to run to the library.</t>
  </si>
  <si>
    <t xml:space="preserve">The push notification that my Marketing Analytics grade was published, right when I was on the train.</t>
  </si>
  <si>
    <t xml:space="preserve">R104</t>
  </si>
  <si>
    <t xml:space="preserve">2026-09-13 17:18</t>
  </si>
  <si>
    <t xml:space="preserve">every course puts the deadlines in a different place. One uses Assignments, one uses a PDF planning, one only mentions it in the lecture.</t>
  </si>
  <si>
    <t xml:space="preserve">The push notification that my Text Mining grade was published, right when I was on the train.</t>
  </si>
  <si>
    <t xml:space="preserve">R105</t>
  </si>
  <si>
    <t xml:space="preserve">2026-09-13 17:32</t>
  </si>
  <si>
    <t xml:space="preserve">R106</t>
  </si>
  <si>
    <t xml:space="preserve">2026-09-13 17:58</t>
  </si>
  <si>
    <t xml:space="preserve">missed a group meeting because the invite was only posted in the Canvas group discussion, and I don't get emails for those.</t>
  </si>
  <si>
    <t xml:space="preserve">R107</t>
  </si>
  <si>
    <t xml:space="preserve">2026-09-13 19:03</t>
  </si>
  <si>
    <t xml:space="preserve">Between work shifts I checked my email and saw a Canvas mail from Monday saying the Human-Computer Interaction deadline was moved earlier. I had already planned my weekend around the old date.</t>
  </si>
  <si>
    <t xml:space="preserve">deadlines on Friday 17:00 instead of Sunday 23:59 would help students with jobs.</t>
  </si>
  <si>
    <t xml:space="preserve">R108</t>
  </si>
  <si>
    <t xml:space="preserve">2026-09-13 21:26</t>
  </si>
  <si>
    <t xml:space="preserve">Trying to see the deadlines of all courses in one view. Exported the calendar feed to Google Calendar, but half the assignments had no dates so they never appeared.</t>
  </si>
  <si>
    <t xml:space="preserve">R109</t>
  </si>
  <si>
    <t xml:space="preserve">2026-09-13 22:11</t>
  </si>
  <si>
    <t xml:space="preserve">The To-do list showed 3 items due but two of them were undated things from a course that finished last block. I almost missed the one that mattered.</t>
  </si>
  <si>
    <t xml:space="preserve">R110</t>
  </si>
  <si>
    <t xml:space="preserve">2026-09-13 22:29</t>
  </si>
  <si>
    <t xml:space="preserve">A lecturer asked us to fix due dates in 30 assignments after a course copy. There is no bulk edit that works reliably.</t>
  </si>
  <si>
    <t xml:space="preserve">The course template we push to all courses in our school makes the support questions drop noticeably.</t>
  </si>
  <si>
    <t xml:space="preserve">Support staff need a view of what the student sees.</t>
  </si>
  <si>
    <t xml:space="preserve">R111</t>
  </si>
  <si>
    <t xml:space="preserve">2026-09-13 22:55</t>
  </si>
  <si>
    <t xml:space="preserve">Honestly I avoid it. I email the students the PDFs and ask the TA to put them in Canvas.</t>
  </si>
  <si>
    <t xml:space="preserve">R112</t>
  </si>
  <si>
    <t xml:space="preserve">2026-09-13 23:48</t>
  </si>
  <si>
    <t xml:space="preserve">Every course puts the deadlines in a different place. One uses Assignments, one uses a PDF planning, one only mentions it in the lecture.</t>
  </si>
  <si>
    <t xml:space="preserve">R113</t>
  </si>
  <si>
    <t xml:space="preserve">2026-09-14 00:03</t>
  </si>
  <si>
    <t xml:space="preserve">The Canvas app doesn't show announcement attachments properly, and I'm mostly on my phone during the week</t>
  </si>
  <si>
    <t xml:space="preserve">R114</t>
  </si>
  <si>
    <t xml:space="preserve">2026-09-14 00:04</t>
  </si>
  <si>
    <t xml:space="preserve">The Modules page reads like a list of 200 links to my screen reader; the headings are not marked as headings so I cannot jump between weeks.</t>
  </si>
  <si>
    <t xml:space="preserve">R115</t>
  </si>
  <si>
    <t xml:space="preserve">2026-09-14 00:51</t>
  </si>
  <si>
    <t xml:space="preserve">Could not find the exam location; it was in an announcement, not in the calendar.</t>
  </si>
  <si>
    <t xml:space="preserve">Being able to look up a student's course list when they are at the desk.</t>
  </si>
  <si>
    <t xml:space="preserve">R116</t>
  </si>
  <si>
    <t xml:space="preserve">2026-09-14 00:56</t>
  </si>
  <si>
    <t xml:space="preserve">Deadline was at 23:59 but the app showed a different time after I came back from holiday. I panicked and submitted at 22:00 just to be safe.</t>
  </si>
  <si>
    <t xml:space="preserve">R117</t>
  </si>
  <si>
    <t xml:space="preserve">2026-09-14 01:31</t>
  </si>
  <si>
    <t xml:space="preserve">Discussion post for the thesis circle counted as an assignment, so it showed up in my grades as 0 for a week and freaked me out.</t>
  </si>
  <si>
    <t xml:space="preserve">When the teacher replied to my comment on my submission I saw it immediately in the app</t>
  </si>
  <si>
    <t xml:space="preserve">R118</t>
  </si>
  <si>
    <t xml:space="preserve">2026-09-14 02:09</t>
  </si>
  <si>
    <t xml:space="preserve">I wanted to re-watch the part of the Deep Learning lecture about recursion. No chapters, no transcript search, so I scrubbed through 90 minutes.</t>
  </si>
  <si>
    <t xml:space="preserve">R119</t>
  </si>
  <si>
    <t xml:space="preserve">2026-09-14 02:46</t>
  </si>
  <si>
    <t xml:space="preserve">The grey-on-white text in the To-do list and the tiny date labels are unreadable for me without zooming, and then the layout breaks</t>
  </si>
  <si>
    <t xml:space="preserve">Transcripts of the Statistics 2 recordings were edited by the TA, so I could actually search them.</t>
  </si>
  <si>
    <t xml:space="preserve">R120</t>
  </si>
  <si>
    <t xml:space="preserve">2026-09-14 04:55</t>
  </si>
  <si>
    <t xml:space="preserve">R121</t>
  </si>
  <si>
    <t xml:space="preserve">2026-09-14 05:25</t>
  </si>
  <si>
    <t xml:space="preserve">The rich content editor moves focus when I type in a discussion post; with the screen reader I lose my place every few words.</t>
  </si>
  <si>
    <t xml:space="preserve">One lecturer added proper headings and alt text in Constitutional Law; I could navigate the whole course by headings for the first time.</t>
  </si>
  <si>
    <t xml:space="preserve">R122</t>
  </si>
  <si>
    <t xml:space="preserve">2026-09-14 05:58</t>
  </si>
  <si>
    <t xml:space="preserve">A student asked me a question through the Canvas Inbox. I only saw it three weeks later because I read my normal email, not that one.</t>
  </si>
  <si>
    <t xml:space="preserve">Grades were visible to students without me having to send them individually.</t>
  </si>
  <si>
    <t xml:space="preserve">A simple mode with only the five things I actually do.</t>
  </si>
  <si>
    <t xml:space="preserve">R123</t>
  </si>
  <si>
    <t xml:space="preserve">2026-09-14 07:17</t>
  </si>
  <si>
    <t xml:space="preserve">The To-do list showed 3 items due but two of them were undated things from a course that finished last block. I almost missed the one that mattered</t>
  </si>
  <si>
    <t xml:space="preserve">R124</t>
  </si>
  <si>
    <t xml:space="preserve">2026-09-14 07:37</t>
  </si>
  <si>
    <t xml:space="preserve">Quiz question banks: I edited a question and it silently didn't update in the quiz that already used it.</t>
  </si>
  <si>
    <t xml:space="preserve">Groups that respect sections.</t>
  </si>
  <si>
    <t xml:space="preserve">Step 2. Analyse data to find patterns</t>
  </si>
  <si>
    <t xml:space="preserve">Every number on this sheet is a live formula over the Responses sheet (rows 2-500). Percentages are of N unless stated. Charts are on the right.</t>
  </si>
  <si>
    <t xml:space="preserve">N (respondents)</t>
  </si>
  <si>
    <t xml:space="preserve">A. Who answered</t>
  </si>
  <si>
    <t xml:space="preserve">Answer</t>
  </si>
  <si>
    <t xml:space="preserve">Code</t>
  </si>
  <si>
    <t xml:space="preserve">Count</t>
  </si>
  <si>
    <t xml:space="preserve">% of N</t>
  </si>
  <si>
    <t xml:space="preserve">Age</t>
  </si>
  <si>
    <t xml:space="preserve">Gender</t>
  </si>
  <si>
    <t xml:space="preserve">School</t>
  </si>
  <si>
    <t xml:space="preserve">Secondary education</t>
  </si>
  <si>
    <t xml:space="preserve">Hours per week on commitments outside study/job (A7)</t>
  </si>
  <si>
    <t xml:space="preserve">Accessibility needs (A8)</t>
  </si>
  <si>
    <t xml:space="preserve">Option (select all that apply)</t>
  </si>
  <si>
    <t xml:space="preserve">Comfort learning new software on your own (A9, 1-7)</t>
  </si>
  <si>
    <t xml:space="preserve">Statistic</t>
  </si>
  <si>
    <t xml:space="preserve">Value</t>
  </si>
  <si>
    <t xml:space="preserve">Mean</t>
  </si>
  <si>
    <t xml:space="preserve">SD</t>
  </si>
  <si>
    <t xml:space="preserve">Median</t>
  </si>
  <si>
    <t xml:space="preserve">% scoring 5-7 (comfortable)</t>
  </si>
  <si>
    <t xml:space="preserve">% scoring 1-3 (uncomfortable)</t>
  </si>
  <si>
    <t xml:space="preserve">B. How often do people open Canvas (B1)</t>
  </si>
  <si>
    <t xml:space="preserve">Mean frequency score (1-6)</t>
  </si>
  <si>
    <t xml:space="preserve">% at least once a day</t>
  </si>
  <si>
    <t xml:space="preserve">Devices used in the last 7 days (B2)</t>
  </si>
  <si>
    <t xml:space="preserve">Most used device (B3)</t>
  </si>
  <si>
    <t xml:space="preserve">Typical visit length (B4)</t>
  </si>
  <si>
    <t xml:space="preserve">% of visits under 5 minutes</t>
  </si>
  <si>
    <t xml:space="preserve">Parts of Canvas used in the last 7 days (B5)</t>
  </si>
  <si>
    <t xml:space="preserve">How people found out about their most recent deadline (B6)</t>
  </si>
  <si>
    <t xml:space="preserve">Where notifications are noticed (B7)</t>
  </si>
  <si>
    <t xml:space="preserve">Times failed to find something in the last 7 days (B8)</t>
  </si>
  <si>
    <t xml:space="preserve">% who failed at least twice</t>
  </si>
  <si>
    <t xml:space="preserve">Other tools used to keep track of courses (B9)</t>
  </si>
  <si>
    <t xml:space="preserve">C. Experience statements (1 = strongly disagree ... 7 = strongly agree)</t>
  </si>
  <si>
    <t xml:space="preserve">Statement</t>
  </si>
  <si>
    <t xml:space="preserve">Item</t>
  </si>
  <si>
    <t xml:space="preserve">% disagree (1-3)</t>
  </si>
  <si>
    <t xml:space="preserve">% neutral (4)</t>
  </si>
  <si>
    <t xml:space="preserve">% agree (5-7)</t>
  </si>
  <si>
    <t xml:space="preserve">n=1</t>
  </si>
  <si>
    <t xml:space="preserve">n=2</t>
  </si>
  <si>
    <t xml:space="preserve">n=3</t>
  </si>
  <si>
    <t xml:space="preserve">n=4</t>
  </si>
  <si>
    <t xml:space="preserve">n=5</t>
  </si>
  <si>
    <t xml:space="preserve">n=6</t>
  </si>
  <si>
    <t xml:space="preserve">n=7</t>
  </si>
  <si>
    <t xml:space="preserve">I can complete my tasks without asking anyone for help.</t>
  </si>
  <si>
    <t xml:space="preserve">Text, colours and videos are easy for me to read, see and hear.</t>
  </si>
  <si>
    <t xml:space="preserve">Working with others is well supported.</t>
  </si>
  <si>
    <t xml:space="preserve">Overall ratings</t>
  </si>
  <si>
    <t xml:space="preserve">% low</t>
  </si>
  <si>
    <t xml:space="preserve">% mid</t>
  </si>
  <si>
    <t xml:space="preserve">% high</t>
  </si>
  <si>
    <t xml:space="preserve">Overall satisfaction (1 = extremely dissatisfied ... 7 = extremely satisfied)</t>
  </si>
  <si>
    <t xml:space="preserve">Difficulty of the last task (1 = very difficult ... 5 = very easy)</t>
  </si>
  <si>
    <t xml:space="preserve">Reliability check of the inverted pair C1 / C2 (slide: duplicate pair with inverted question)</t>
  </si>
  <si>
    <t xml:space="preserve">Pearson r between C1 and reversed C2 (8 - C2)</t>
  </si>
  <si>
    <t xml:space="preserve">Cronbach's alpha for the 2-item scale  = 2r / (1 + r)</t>
  </si>
  <si>
    <t xml:space="preserve">Mean 'findability' score = average of C1 and reversed C2</t>
  </si>
  <si>
    <t xml:space="preserve">Alpha above 0.7 means respondents answered the pair consistently; the two items can be averaged into one 'findability' score. A respondent who agrees with both C1 and C2 is a candidate straight-liner.</t>
  </si>
  <si>
    <t xml:space="preserve">D. Priorities: rank of six activities (1 = most important)</t>
  </si>
  <si>
    <t xml:space="preserve">Activity</t>
  </si>
  <si>
    <t xml:space="preserve">Mean rank</t>
  </si>
  <si>
    <t xml:space="preserve">% ranked 1st</t>
  </si>
  <si>
    <t xml:space="preserve">% ranked top-2</t>
  </si>
  <si>
    <t xml:space="preserve">% ranked last</t>
  </si>
  <si>
    <t xml:space="preserve">E. Cross-tabulations: do different users behave differently?</t>
  </si>
  <si>
    <t xml:space="preserve">Role x frequency (counts)</t>
  </si>
  <si>
    <t xml:space="preserve">Total</t>
  </si>
  <si>
    <t xml:space="preserve">Mean by role</t>
  </si>
  <si>
    <t xml:space="preserve">n</t>
  </si>
  <si>
    <t xml:space="preserve">Satisfaction (1-7)</t>
  </si>
  <si>
    <t xml:space="preserve">Find quickly C1</t>
  </si>
  <si>
    <t xml:space="preserve">Confident C8</t>
  </si>
  <si>
    <t xml:space="preserve">Mobile parity C5</t>
  </si>
  <si>
    <t xml:space="preserve">Notif. noise C4</t>
  </si>
  <si>
    <t xml:space="preserve">Mean by most-used device</t>
  </si>
  <si>
    <t xml:space="preserve">Visit length (1-5)</t>
  </si>
  <si>
    <t xml:space="preserve">Frequency (1-6)</t>
  </si>
  <si>
    <t xml:space="preserve">Mean by frequency of use</t>
  </si>
  <si>
    <t xml:space="preserve">% found out late (B6)</t>
  </si>
  <si>
    <t xml:space="preserve">Outside commitments (A7) x missed deadline</t>
  </si>
  <si>
    <t xml:space="preserve">Mean frequency (1-6)</t>
  </si>
  <si>
    <t xml:space="preserve">F. Correlations between experience items (Pearson r)</t>
  </si>
  <si>
    <t xml:space="preserve">C1  I can quickly find the course material I need.</t>
  </si>
  <si>
    <t xml:space="preserve">C2  Finding what I need takes longer than it should.</t>
  </si>
  <si>
    <t xml:space="preserve">C3  Notifications help me stay on top of what is due.</t>
  </si>
  <si>
    <t xml:space="preserve">C4  I receive notifications that are not relevant to me.</t>
  </si>
  <si>
    <t xml:space="preserve">C5  Using the system on my phone works as well as on a compu</t>
  </si>
  <si>
    <t xml:space="preserve">C6  Course pages are organised in a similar way across my co</t>
  </si>
  <si>
    <t xml:space="preserve">C7  I trust that the grades and feedback I see are up to dat</t>
  </si>
  <si>
    <t xml:space="preserve">C8  I can complete my tasks without asking anyone for help.</t>
  </si>
  <si>
    <t xml:space="preserve">C9  Text, colours and videos are easy for me to read, see an</t>
  </si>
  <si>
    <t xml:space="preserve">C10  Working with others is well supported.</t>
  </si>
  <si>
    <t xml:space="preserve">C11  Overall satisfaction (1-7)</t>
  </si>
  <si>
    <t xml:space="preserve">C12  Ease of last task (1-5)</t>
  </si>
  <si>
    <t xml:space="preserve">Read: C1 and C2 should be strongly negative (they are the inverted pair). Look for what travels with satisfaction (C11).</t>
  </si>
  <si>
    <t xml:space="preserve">G. Key patterns we take into the segmentation (written from the numbers above)</t>
  </si>
  <si>
    <t xml:space="preserve">1. Canvas is a daily habit for most: 57% open it at least once a day, but visits are short for a third of respondents (30% under 5 minutes). Frequency and satisfaction rise together (several-times-a-day users: 4.4/7 vs once-a-week users: 2.7/7).</t>
  </si>
  <si>
    <t xml:space="preserve">2. Findability is the weakest point: 'I can quickly find the material I need' averages 3.5/7 and 'course pages are organised similarly' only 3.1/7; 56% failed to find something at least twice last week. Findability is the item most correlated with overall satisfaction (r = 0.46).</t>
  </si>
  <si>
    <t xml:space="preserve">3. Notifications are noise, not signal: 'I receive notifications that are not relevant' averages 5.1/7 while 'notifications help me stay on top of what is due' only 4.0/7. 40% learned of their last deadline from a peer and 48% from their own calendar; only 36% from the Canvas calendar. 14% found out late or missed it.</t>
  </si>
  <si>
    <t xml:space="preserve">4. Mobile is a second-class citizen: mobile parity scores 3.3/7 overall and 2.9/7 among the 32 people whose main device IS a smartphone, yet those users are the most satisfied group (4.4/7) because they use it for quick checks (deadlines, grades).</t>
  </si>
  <si>
    <t xml:space="preserve">5. Two priorities dominate the ranking: finding materials (mean rank 2.1) and keeping track of deadlines (2.4); organising group work is last (5.6) even though 'working with others is well supported' scores only 3.6/7.</t>
  </si>
  <si>
    <t xml:space="preserve">6. Roles differ: lecturers/professors are the least satisfied role (3.3/7) and split into all-day users and once-a-week users (see role x frequency); confidence ('without asking for help') ranges from very high to very low within the same role. Behaviour, not job title, will drive the segments.</t>
  </si>
  <si>
    <t xml:space="preserve">7. Extreme users surface real barriers: respondents with accessibility needs rate 'easy to read, see and hear' far below the rest; respondents with 17+ hours of outside commitments open Canvas less often and miss deadlines more often (see cross-tab A7).</t>
  </si>
  <si>
    <t xml:space="preserve">8. Everyone works around the system: 73% use their own calendar, 60% a chat group, 36% a notes app; nobody (0%) relies on Canvas alone.</t>
  </si>
  <si>
    <t xml:space="preserve">Numbers in this narrative were read from the formulas above when the sheet was written; if you replace the data, re-read them.</t>
  </si>
  <si>
    <t xml:space="preserve">Step 3. Cluster user segments</t>
  </si>
  <si>
    <t xml:space="preserve">k-means on standardised features (frequency, visit length, phone as main device, tech comfort, outside commitments, times lost, the 12 experience items and the 6 ranks). Cluster labels are pasted in Responses!Segment; every profile number below is a live formula on that column.</t>
  </si>
  <si>
    <t xml:space="preserve">Choosing k (elbow and silhouette; k = 6 chosen)</t>
  </si>
  <si>
    <t xml:space="preserve">k</t>
  </si>
  <si>
    <t xml:space="preserve">Inertia (within-cluster SS)</t>
  </si>
  <si>
    <t xml:space="preserve">Silhouette</t>
  </si>
  <si>
    <t xml:space="preserve">The elbow flattens after k = 5-6 and the silhouette is flat between 5 and 6. We chose 6 because the sixth cluster isolates the accessibility extreme users, who are few but design-critical; with k = 5 they were absorbed into the Structured Scholars. (Values pasted from the Python/vis.html run.)</t>
  </si>
  <si>
    <t xml:space="preserve">Segment sizes</t>
  </si>
  <si>
    <t xml:space="preserve">One-line description</t>
  </si>
  <si>
    <t xml:space="preserve">Phone-first students who open Canvas several times a day for a few seconds: deadlines, grades, room changes.</t>
  </si>
  <si>
    <t xml:space="preserve">Master/PhD students on a laptop, long sessions, live in Modules and recordings, want consistency and search.</t>
  </si>
  <si>
    <t xml:space="preserve">Students with 17+ hours of work or care per week; check 2-3 times a week, run on e-mail, and catch up in batches.</t>
  </si>
  <si>
    <t xml:space="preserve">Lecturers/TAs in Canvas all day: grading, announcements, groups; want bulk actions and fewer clicks.</t>
  </si>
  <si>
    <t xml:space="preserve">Senior lecturers who open Canvas about once a week, low confidence, delegate to TAs and e-mail.</t>
  </si>
  <si>
    <t xml:space="preserve">Students using screen readers, captions or reading support; blocked by unstructured pages and media.</t>
  </si>
  <si>
    <t xml:space="preserve">Segment profile matrix (live formulas; colour scale compares segments within each row)</t>
  </si>
  <si>
    <t xml:space="preserve">Feature</t>
  </si>
  <si>
    <t xml:space="preserve">All</t>
  </si>
  <si>
    <t xml:space="preserve">Behaviour</t>
  </si>
  <si>
    <t xml:space="preserve">Opens Canvas (1 = &lt;1x/week ... 6 = several times a day)</t>
  </si>
  <si>
    <t xml:space="preserve">% opening at least once a day</t>
  </si>
  <si>
    <t xml:space="preserve">Visit length (1 = &lt;2 min ... 5 = &gt;30 min)</t>
  </si>
  <si>
    <t xml:space="preserve">% smartphone is the most used device</t>
  </si>
  <si>
    <t xml:space="preserve">% used the Canvas app last week</t>
  </si>
  <si>
    <t xml:space="preserve">Comfort learning software alone (1-7)</t>
  </si>
  <si>
    <t xml:space="preserve">Outside commitments (0 = none ... 4 = &gt;24 h/week)</t>
  </si>
  <si>
    <t xml:space="preserve">% with 17+ h/week outside commitments</t>
  </si>
  <si>
    <t xml:space="preserve">% with an accessibility need (A8, not 'none'/'prefer not')</t>
  </si>
  <si>
    <t xml:space="preserve">Times failed to find something last week (0-4)</t>
  </si>
  <si>
    <t xml:space="preserve">% found out about last deadline late / missed it</t>
  </si>
  <si>
    <t xml:space="preserve">Courses this block (1-6)</t>
  </si>
  <si>
    <t xml:space="preserve">Parts of Canvas used last week (% of segment)</t>
  </si>
  <si>
    <t xml:space="preserve">How they found out about the last deadline (% of segment)</t>
  </si>
  <si>
    <t xml:space="preserve">Where notifications are noticed (% of segment)</t>
  </si>
  <si>
    <t xml:space="preserve">Other tools used (% of segment)</t>
  </si>
  <si>
    <t xml:space="preserve">Experience (mean, 1-7; C12 is 1-5)</t>
  </si>
  <si>
    <t xml:space="preserve">C5  Using the system on my phone works as well as on a computer.</t>
  </si>
  <si>
    <t xml:space="preserve">C6  Course pages are organised in a similar way across my courses.</t>
  </si>
  <si>
    <t xml:space="preserve">C7  I trust that the grades and feedback I see are up to date.</t>
  </si>
  <si>
    <t xml:space="preserve">C9  Text, colours and videos are easy for me to read, see and hear.</t>
  </si>
  <si>
    <t xml:space="preserve">Priorities (mean rank, 1 = most important)</t>
  </si>
  <si>
    <t xml:space="preserve">Who is in the segment (% of segment by role)</t>
  </si>
  <si>
    <t xml:space="preserve">Age (% of segment)</t>
  </si>
  <si>
    <t xml:space="preserve">Roles cut across segments (counts): personas follow behaviour patterns, not job titles (About Face)</t>
  </si>
  <si>
    <t xml:space="preserve">Role</t>
  </si>
  <si>
    <t xml:space="preserve">Segment descriptions (who, defining behaviour, key pains with evidence, a voice from the data, design implication)</t>
  </si>
  <si>
    <t xml:space="preserve">Who they are</t>
  </si>
  <si>
    <t xml:space="preserve">Defining behaviour</t>
  </si>
  <si>
    <t xml:space="preserve">Key pains (evidence)</t>
  </si>
  <si>
    <t xml:space="preserve">In their own words (E1)</t>
  </si>
  <si>
    <t xml:space="preserve">Design implication for iCanvas</t>
  </si>
  <si>
    <t xml:space="preserve">Bachelor student (25), Master student (9). Mostly 17-24, 9% work 17+ h. n = 34.</t>
  </si>
  <si>
    <t xml:space="preserve">Open Canvas several times a day (88% at least daily), on the phone (79% smartphone as main device, 91% use the app), for under 5 minutes (91%). Check grades (94%) and announcements. Rank deadlines #1 (mean 1.4) and grades #2.</t>
  </si>
  <si>
    <t xml:space="preserve">Mobile parity 2.8/7 (lowest of any student segment); notification noise 5.3/7; 71% heard of their last deadline from a peer, 91% run a course chat group; trust in up-to-date grades only 3.8/7.</t>
  </si>
  <si>
    <t xml:space="preserve">"I wanted to quickly check if the lecture was cancelled. Had to go dashboard &gt; course &gt; announcements &gt; scroll. Three taps too many when you are on the bus."</t>
  </si>
  <si>
    <t xml:space="preserve">A phone-first 'what changed / what is due' surface; one trustworthy push per real change; grades with context.</t>
  </si>
  <si>
    <t xml:space="preserve">Master student (18), PhD candidate (9). 21-29, highest tech comfort (5.8/7). n = 29.</t>
  </si>
  <si>
    <t xml:space="preserve">Laptop only (0% phone), about once a day, long visits (8 of 29 over 30 min). Live in Modules (93%) and recordings (76%). Rank materials #1 (1.2) and recordings #2. 79% keep a Notion/Obsidian/OneNote system.</t>
  </si>
  <si>
    <t xml:space="preserve">Consistency across courses 2.5/7 and findability 3.0/7 (both far below average); 55% failed to find something 2+ times last week; only 38% learned of the last deadline from the Canvas calendar because undated items never appear.</t>
  </si>
  <si>
    <t xml:space="preserve">"I was looking for the reading list for week 4. One lecturer puts readings in Modules, another in Files, another in a PDF under Syllabus. I spent 15 minutes clicking around."</t>
  </si>
  <si>
    <t xml:space="preserve">Enforced course structure, cross-course search (incl. inside PDFs and transcripts), reliable calendar feed.</t>
  </si>
  <si>
    <t xml:space="preserve">Master student (11), Bachelor student (9). Older students (25-49), 95% have 17+ h/week of work or care. n = 20.</t>
  </si>
  <si>
    <t xml:space="preserve">Open Canvas only 2-3 times a week (mean 3.2 on the 1-6 scale; 10% daily), in batches of 5-15 minutes; 16 of 20 rely on e-mail; recordings are essential (75%). Rank deadlines #1 and recordings #2.</t>
  </si>
  <si>
    <t xml:space="preserve">25% found out about their last deadline late or missed it (vs 14% overall); notification noise 5.3/7 while usefulness only 3.5/7; satisfaction 3.3/7 (70% dissatisfied).</t>
  </si>
  <si>
    <t xml:space="preserve">"I can only study on Sunday. I opened Canvas and had 13 unread announcements from 4 courses. No way to see which ones actually require me to do something."</t>
  </si>
  <si>
    <t xml:space="preserve">A 'what did I miss / what must I do before the tutorial' digest; deadline changes that reach e-mail as one clear message.</t>
  </si>
  <si>
    <t xml:space="preserve">Lecturer / professor (9), Teaching assistant (5), Support / admin staff (3). 25-49. n = 17.</t>
  </si>
  <si>
    <t xml:space="preserve">In Canvas all day (100% at least daily, 12 of 17 visits over 30 min) on desktop/laptop; use assignments, gradebook, announcements, modules and Inbox (82%). Rank grading #1 (1.2). Highest confidence (5.9/7).</t>
  </si>
  <si>
    <t xml:space="preserve">Notification noise 5.4/7 (one e-mail per submission); group work support 3.2/7; mobile 2.8/7; last task difficulty 3.5/5 despite expertise: repetitive clicks (course copy dates, SpeedGrader reloads, section overrides).</t>
  </si>
  <si>
    <t xml:space="preserve">"Grading 180 submissions in SpeedGrader: the page reloads for every student and the rubric panel collapses each time. Two clicks that cost me hours."</t>
  </si>
  <si>
    <t xml:space="preserve">Bulk actions (dates, messages, rubrics), groups that respect sections, per-course notification rules, analytics per tutorial group.</t>
  </si>
  <si>
    <t xml:space="preserve">Lecturer / professor (11), Support / admin staff (3). 40+, lowest tech comfort (3.1/7). n = 15.</t>
  </si>
  <si>
    <t xml:space="preserve">Open Canvas about once a week (mean 2.1/6; 0% daily) on a desktop, mainly to post announcements and files; 93% run their course through e-mail and 53% a paper agenda; delegate to TAs and the education office.</t>
  </si>
  <si>
    <t xml:space="preserve">Confidence 'without asking for help' 2.2/7 (lowest of all); last task difficulty 1.6/5; satisfaction 2.7/7, 87% dissatisfied; publish/unpublish and Files-vs-Modules-vs-Pages confusion; Inbox messages unseen for weeks.</t>
  </si>
  <si>
    <t xml:space="preserve">"I wanted to upload the slides after the lecture. It asked whether to put them in Files or Modules or Pages. I still don't know the difference; the TA fixed it later."</t>
  </si>
  <si>
    <t xml:space="preserve">A 'simple mode' with the five tasks they do, help at the moment of doing, Inbox forwarded to e-mail, one obvious place for files.</t>
  </si>
  <si>
    <t xml:space="preserve">Bachelor student (5), Master student (4). 44% screen reader/magnification, 44% dyslexia, 22% captions. n = 9.</t>
  </si>
  <si>
    <t xml:space="preserve">Daily laptop users with the longest visits (8 of 9 over 30 min) because every page costs effort; use Modules (100%), calendar (89%) and recordings; 67% re-create course content in their own tools.</t>
  </si>
  <si>
    <t xml:space="preserve">'Easy to read, see and hear' 2.1/7 vs 4.9 overall; findability 2.0/7; 89% failed to find something 2+ times; satisfaction 2.3/7, the lowest of all segments.</t>
  </si>
  <si>
    <t xml:space="preserve">"The Modules page reads like a list of 200 links to my screen reader; the headings are not marked as headings so I cannot jump between weeks."</t>
  </si>
  <si>
    <t xml:space="preserve">Structure the system enforces (headings, alt text, captions, real text not scans), user-level display settings, full keyboard operation.</t>
  </si>
  <si>
    <t xml:space="preserve">PCA map of respondents (first two principal components of the clustering features; chart data pasted)</t>
  </si>
  <si>
    <t xml:space="preserve">PC1 explains 19% and PC2 13% of the variance. Each dot is a respondent, coloured by segment; overlap is expected in survey data (silhouette ~0.18).</t>
  </si>
  <si>
    <t xml:space="preserve">S1 Deadline Sprinters PC1</t>
  </si>
  <si>
    <t xml:space="preserve">S2 Structured Scholars PC1</t>
  </si>
  <si>
    <t xml:space="preserve">S3 Overloaded Jugglers PC1</t>
  </si>
  <si>
    <t xml:space="preserve">S4 Power Instructors PC1</t>
  </si>
  <si>
    <t xml:space="preserve">S5 Reluctant Instructors PC1</t>
  </si>
  <si>
    <t xml:space="preserve">S6 Access-First Learners PC1</t>
  </si>
  <si>
    <t xml:space="preserve">Step 4. Write a persona based on a segment  |  Persona 1 of 6, from S1 Deadline Sprinters (largest segment)</t>
  </si>
  <si>
    <t xml:space="preserve">Layout follows the persona template from the Week 03 slides. Every statement in the card is backed by a row in the evidence table below (live formulas on the Responses sheet).</t>
  </si>
  <si>
    <t xml:space="preserve">[ photo ]
Add an AI-generated face here, e.g. from thispersondoesnotexist.com (slide: Persona). Do not use a real student's photo.</t>
  </si>
  <si>
    <t xml:space="preserve">"If it is not in my To-do list or in the WhatsApp group, it does not exist. I check Canvas on the bus, in the queue, in bed - but I only ever have thirty seconds."</t>
  </si>
  <si>
    <t xml:space="preserve">Goals</t>
  </si>
  <si>
    <t xml:space="preserve">Pains</t>
  </si>
  <si>
    <t xml:space="preserve">Brand affiliations</t>
  </si>
  <si>
    <t xml:space="preserve">- See in one glance what is due this week, across all courses
- Know the moment a grade is published, with context (average, feedback)
- Submit from the phone without hunting for the file
- Never again travel to a lecture that was moved or cancelled
- Spend no more than a minute per check</t>
  </si>
  <si>
    <t xml:space="preserve">- Too many irrelevant notifications (5.3/7), so the one that matters gets lost
- Canvas on the phone is worse than on a laptop (2.8/7): re-logins, feedback invisible, file picker fails
- Every course puts deadlines and slides somewhere else (3.6/7)
- To-do list polluted by undated and old items
- Grades without context; 'submitted' for days without knowing the file was wrong</t>
  </si>
  <si>
    <t xml:space="preserve">WhatsApp (course groups)
Canvas Student app
Google Calendar
Instagram / TikTok
Spotify
NS app (train)
Albert Heijn (side job)
Bol / Studystore (books)</t>
  </si>
  <si>
    <t xml:space="preserve">Sanne de Vries</t>
  </si>
  <si>
    <t xml:space="preserve">Bio</t>
  </si>
  <si>
    <t xml:space="preserve">Motivations</t>
  </si>
  <si>
    <t xml:space="preserve">Devices</t>
  </si>
  <si>
    <t xml:space="preserve">The Deadline Sprinter</t>
  </si>
  <si>
    <t xml:space="preserve">Sanne is in her second year of CSAI and takes four courses this block. She works two supermarket shifts a week and spends the rest of her time between lectures, the library and her friends. Her phone is her main tool for everything, Canvas included: she opens the app several times a day for well under five minutes to see whether a grade came in, whether anything changed and what is due. She has no patience for Modules on a phone screen; the slides she needs are forwarded in the course WhatsApp group anyway. She gets more Canvas notifications than she can read, so a change of deadline reaches her through a friend, not through Canvas, and when a grade shows up without the class average she does not know what it means. She feels confident with software and expects apps to just work.</t>
  </si>
  <si>
    <t xml:space="preserve">(for managing her courses; share of segment, live)</t>
  </si>
  <si>
    <t xml:space="preserve">(most-used device in the segment, live)</t>
  </si>
  <si>
    <t xml:space="preserve">Not missing a deadline</t>
  </si>
  <si>
    <t xml:space="preserve">Smartphone (Canvas app)</t>
  </si>
  <si>
    <t xml:space="preserve">Age / identifying gender</t>
  </si>
  <si>
    <t xml:space="preserve">21 / Female</t>
  </si>
  <si>
    <t xml:space="preserve">Knowing where she stands (grades)</t>
  </si>
  <si>
    <t xml:space="preserve">Location</t>
  </si>
  <si>
    <t xml:space="preserve">Student house in Tilburg (grew up in Eindhoven)</t>
  </si>
  <si>
    <t xml:space="preserve">Speed: check in under 5 minutes</t>
  </si>
  <si>
    <t xml:space="preserve">Occupation</t>
  </si>
  <si>
    <t xml:space="preserve">2nd-year BSc Cognitive Science &amp; AI; 10 h/week at a supermarket</t>
  </si>
  <si>
    <t xml:space="preserve">Staying in sync with friends</t>
  </si>
  <si>
    <t xml:space="preserve">Desktop</t>
  </si>
  <si>
    <t xml:space="preserve">Family status</t>
  </si>
  <si>
    <t xml:space="preserve">Single, four housemates, no kids</t>
  </si>
  <si>
    <t xml:space="preserve">Deep study of materials</t>
  </si>
  <si>
    <t xml:space="preserve">Uses the laptop for submitting long assignments and for the rare deep session; never a desktop.</t>
  </si>
  <si>
    <t xml:space="preserve">Evidence: every statement in the card traces back to the S1 segment data (live formulas)</t>
  </si>
  <si>
    <t xml:space="preserve">Persona statement</t>
  </si>
  <si>
    <t xml:space="preserve">Statistic in S1 Deadline Sprinters</t>
  </si>
  <si>
    <t xml:space="preserve">Same statistic, all respondents</t>
  </si>
  <si>
    <t xml:space="preserve">Source item</t>
  </si>
  <si>
    <t xml:space="preserve">21, female, Bachelor student</t>
  </si>
  <si>
    <t xml:space="preserve">% Bachelor students / % aged 17-24 / % female</t>
  </si>
  <si>
    <t xml:space="preserve">% aged 17-24</t>
  </si>
  <si>
    <t xml:space="preserve">% female</t>
  </si>
  <si>
    <t xml:space="preserve">Works ~10 h/week alongside her studies</t>
  </si>
  <si>
    <t xml:space="preserve">% with 1-16 h/week outside commitments</t>
  </si>
  <si>
    <t xml:space="preserve">Takes four courses</t>
  </si>
  <si>
    <t xml:space="preserve">Mean number of courses</t>
  </si>
  <si>
    <t xml:space="preserve">Opens the app several times a day</t>
  </si>
  <si>
    <t xml:space="preserve">Her phone is her main tool</t>
  </si>
  <si>
    <t xml:space="preserve">% smartphone as most-used device</t>
  </si>
  <si>
    <t xml:space="preserve">% used the Canvas app in the last 7 days</t>
  </si>
  <si>
    <t xml:space="preserve">Visits last well under five minutes</t>
  </si>
  <si>
    <t xml:space="preserve">% with typical visit under 5 minutes</t>
  </si>
  <si>
    <t xml:space="preserve">Checks whether a grade came in</t>
  </si>
  <si>
    <t xml:space="preserve">% used Grades/feedback last week</t>
  </si>
  <si>
    <t xml:space="preserve">Has no patience for Modules on a phone</t>
  </si>
  <si>
    <t xml:space="preserve">% used Modules/Files last week</t>
  </si>
  <si>
    <t xml:space="preserve">Deadlines and grades are what matter</t>
  </si>
  <si>
    <t xml:space="preserve">Mean rank of 'keeping track of deadlines' (1 = top)</t>
  </si>
  <si>
    <t xml:space="preserve">Mean rank of 'seeing grades and feedback'</t>
  </si>
  <si>
    <t xml:space="preserve">A deadline change reaches her through a friend</t>
  </si>
  <si>
    <t xml:space="preserve">% learned of last deadline from a classmate (e.g. WhatsApp)</t>
  </si>
  <si>
    <t xml:space="preserve">% learned of it from a Canvas push notification</t>
  </si>
  <si>
    <t xml:space="preserve">Lives in the course WhatsApp group</t>
  </si>
  <si>
    <t xml:space="preserve">% using a WhatsApp/Signal/Discord group for courses</t>
  </si>
  <si>
    <t xml:space="preserve">More notifications than she can read</t>
  </si>
  <si>
    <t xml:space="preserve">'I receive notifications that are not relevant to me' (1-7)</t>
  </si>
  <si>
    <t xml:space="preserve">'Notifications help me stay on top of what is due' (1-7)</t>
  </si>
  <si>
    <t xml:space="preserve">Canvas on the phone is worse than on a laptop</t>
  </si>
  <si>
    <t xml:space="preserve">'Using the system on my phone works as well as on a computer' (1-7)</t>
  </si>
  <si>
    <t xml:space="preserve">Grades without context, not sure they are current</t>
  </si>
  <si>
    <t xml:space="preserve">'I trust that grades and feedback are up to date' (1-7)</t>
  </si>
  <si>
    <t xml:space="preserve">Every course puts things somewhere else</t>
  </si>
  <si>
    <t xml:space="preserve">'Course pages are organised in a similar way' (1-7)</t>
  </si>
  <si>
    <t xml:space="preserve">Confident with software, expects apps to just work</t>
  </si>
  <si>
    <t xml:space="preserve">'I can complete my tasks without asking for help' (1-7) / comfort learning software (1-7)</t>
  </si>
  <si>
    <t xml:space="preserve">Comfort learning new software alone (1-7)</t>
  </si>
  <si>
    <t xml:space="preserve">Moderately satisfied overall (it works for quick checks)</t>
  </si>
  <si>
    <t xml:space="preserve">Overall satisfaction (1-7)</t>
  </si>
  <si>
    <t xml:space="preserve">Point of view (Week 03 slides, 4-sentence formulation) and How-Might-We questions</t>
  </si>
  <si>
    <t xml:space="preserve">WE MET</t>
  </si>
  <si>
    <t xml:space="preserve">Sanne, a second-year CSAI student in Tilburg who opens the Canvas app on her phone several times a day, for thirty seconds at a time.</t>
  </si>
  <si>
    <t xml:space="preserve">WE WERE SURPRISED TO NOTICE</t>
  </si>
  <si>
    <t xml:space="preserve">that although she receives more Canvas notifications than anyone, she learns about deadline changes from the course WhatsApp group (71% of her segment did for their last deadline).</t>
  </si>
  <si>
    <t xml:space="preserve">WE WONDER IF THIS MEANS</t>
  </si>
  <si>
    <t xml:space="preserve">that for her the official channel has become background noise and her peers have become the trusted filter: she outsources 'what matters' to people who also do not know.</t>
  </si>
  <si>
    <t xml:space="preserve">IT WOULD BE GAME-CHANGING TO</t>
  </si>
  <si>
    <t xml:space="preserve">make the one change that matters unmistakable on a phone screen within five seconds, without her having to open a single course page.</t>
  </si>
  <si>
    <t xml:space="preserve">How might we ...</t>
  </si>
  <si>
    <t xml:space="preserve">... make a change to a deadline impossible to miss on a phone, in under five seconds?</t>
  </si>
  <si>
    <t xml:space="preserve">... show what is due this week across all courses even when lecturers have not dated their assignments?</t>
  </si>
  <si>
    <t xml:space="preserve">... give a grade its meaning the moment it appears (context, feedback, what to do next) on a small screen?</t>
  </si>
  <si>
    <t xml:space="preserve">... bring the trust Sanne places in her WhatsApp group into the official channel, instead of competing with it?</t>
  </si>
  <si>
    <t xml:space="preserve">... let a thirty-second check on the bus be enough, so that nothing requires the laptop later?</t>
  </si>
  <si>
    <t xml:space="preserve">Persona candidates for the other five segments (to be written the same way; n and key numbers are live)</t>
  </si>
  <si>
    <t xml:space="preserve">Suggested persona</t>
  </si>
  <si>
    <t xml:space="preserve">Tagline</t>
  </si>
  <si>
    <t xml:space="preserve">Key numbers (live)</t>
  </si>
  <si>
    <t xml:space="preserve">Top pain</t>
  </si>
  <si>
    <t xml:space="preserve">Tomasz Nowak, 24, MSc Data Science (from Krakow), laptop + Notion</t>
  </si>
  <si>
    <t xml:space="preserve">The Structured Scholar: builds his own system because every course is different</t>
  </si>
  <si>
    <t xml:space="preserve">Course pages organised differently everywhere; no search across courses or inside files.</t>
  </si>
  <si>
    <t xml:space="preserve">Fatima el Amrani, 31, part-time BSc Psychology, 24 h/week job, one child</t>
  </si>
  <si>
    <t xml:space="preserve">The Overloaded Juggler: catches up on Sunday evening, by e-mail</t>
  </si>
  <si>
    <t xml:space="preserve">No 'what did I miss / what must I do' view; deadline changes buried in look-alike e-mails.</t>
  </si>
  <si>
    <t xml:space="preserve">Dr. Eva Janssen, 38, assistant professor, 2 courses, 180 students, desktop all day</t>
  </si>
  <si>
    <t xml:space="preserve">The Power Instructor: fights the system with bulk actions and Excel</t>
  </si>
  <si>
    <t xml:space="preserve">Repetitive clicks: course-copy dates, SpeedGrader reloads, section overrides, groups ignoring sections.</t>
  </si>
  <si>
    <t xml:space="preserve">Prof. Henk van der Berg, 57, full professor, delegates Canvas to his TA</t>
  </si>
  <si>
    <t xml:space="preserve">The Reluctant Instructor: once a week, on the desktop, with the education office on speed dial</t>
  </si>
  <si>
    <t xml:space="preserve">Files vs Modules vs Pages; invisible 'unpublished' state; Inbox messages unseen for weeks.</t>
  </si>
  <si>
    <t xml:space="preserve">Lars Pedersen, 23, BSc Data Science, screen-reader and dyslexia support user</t>
  </si>
  <si>
    <t xml:space="preserve">The Access-First Learner: every page is work; structure is everything</t>
  </si>
  <si>
    <t xml:space="preserve">Unstructured pages, scanned PDFs, auto-captions, colour-only status, keyboard traps.</t>
  </si>
  <si>
    <t xml:space="preserve">Persona names and photos are fictional; all characteristics come from the segment statistics. Next step (Week 03): brainstorm 10-15 HMWs per POV, pick the best three, then storyboard.</t>
  </si>
</sst>
</file>

<file path=xl/styles.xml><?xml version="1.0" encoding="utf-8"?>
<styleSheet xmlns="http://schemas.openxmlformats.org/spreadsheetml/2006/main">
  <numFmts count="6">
    <numFmt numFmtId="164" formatCode="General"/>
    <numFmt numFmtId="165" formatCode="General"/>
    <numFmt numFmtId="166" formatCode="0%"/>
    <numFmt numFmtId="167" formatCode="0.00"/>
    <numFmt numFmtId="168" formatCode="0.0"/>
    <numFmt numFmtId="169" formatCode="0.000"/>
  </numFmts>
  <fonts count="35">
    <font>
      <sz val="11"/>
      <color theme="1"/>
      <name val="Calibri"/>
      <family val="2"/>
      <charset val="1"/>
    </font>
    <font>
      <sz val="10"/>
      <name val="Arial"/>
      <family val="0"/>
    </font>
    <font>
      <sz val="10"/>
      <name val="Arial"/>
      <family val="0"/>
    </font>
    <font>
      <sz val="10"/>
      <name val="Arial"/>
      <family val="0"/>
    </font>
    <font>
      <b val="true"/>
      <sz val="16"/>
      <color rgb="FF145F46"/>
      <name val="Arial"/>
      <family val="0"/>
      <charset val="1"/>
    </font>
    <font>
      <sz val="9"/>
      <color rgb="FF555555"/>
      <name val="Arial"/>
      <family val="0"/>
      <charset val="1"/>
    </font>
    <font>
      <b val="true"/>
      <sz val="12"/>
      <color rgb="FFFFFFFF"/>
      <name val="Arial"/>
      <family val="0"/>
      <charset val="1"/>
    </font>
    <font>
      <sz val="10"/>
      <color rgb="FF222222"/>
      <name val="Arial"/>
      <family val="0"/>
      <charset val="1"/>
    </font>
    <font>
      <b val="true"/>
      <sz val="10"/>
      <color rgb="FFFFFFFF"/>
      <name val="Arial"/>
      <family val="0"/>
      <charset val="1"/>
    </font>
    <font>
      <b val="true"/>
      <sz val="10"/>
      <color rgb="FF222222"/>
      <name val="Arial"/>
      <family val="0"/>
      <charset val="1"/>
    </font>
    <font>
      <sz val="10"/>
      <color rgb="FF7A1F1F"/>
      <name val="Arial"/>
      <family val="0"/>
      <charset val="1"/>
    </font>
    <font>
      <b val="true"/>
      <sz val="14"/>
      <color rgb="FF145F46"/>
      <name val="Arial"/>
      <family val="0"/>
      <charset val="1"/>
    </font>
    <font>
      <sz val="9"/>
      <color rgb="FF222222"/>
      <name val="Arial"/>
      <family val="0"/>
      <charset val="1"/>
    </font>
    <font>
      <b val="true"/>
      <sz val="9"/>
      <color rgb="FFFFFFFF"/>
      <name val="Arial"/>
      <family val="0"/>
      <charset val="1"/>
    </font>
    <font>
      <sz val="9"/>
      <color rgb="FF374151"/>
      <name val="Arial"/>
      <family val="0"/>
      <charset val="1"/>
    </font>
    <font>
      <sz val="10"/>
      <name val="Arial"/>
      <family val="2"/>
    </font>
    <font>
      <b val="true"/>
      <sz val="10"/>
      <color rgb="FF145F46"/>
      <name val="Arial"/>
      <family val="0"/>
      <charset val="1"/>
    </font>
    <font>
      <i val="true"/>
      <sz val="9"/>
      <color rgb="FF555555"/>
      <name val="Arial"/>
      <family val="0"/>
      <charset val="1"/>
    </font>
    <font>
      <b val="true"/>
      <sz val="18"/>
      <color rgb="FF000000"/>
      <name val="Calibri"/>
      <family val="2"/>
    </font>
    <font>
      <sz val="10"/>
      <color rgb="FF000000"/>
      <name val="Calibri"/>
      <family val="2"/>
    </font>
    <font>
      <b val="true"/>
      <sz val="8"/>
      <color rgb="FF222222"/>
      <name val="Arial"/>
      <family val="0"/>
      <charset val="1"/>
    </font>
    <font>
      <sz val="8"/>
      <color rgb="FF222222"/>
      <name val="Arial"/>
      <family val="0"/>
      <charset val="1"/>
    </font>
    <font>
      <b val="true"/>
      <sz val="10"/>
      <color rgb="FF000000"/>
      <name val="Calibri"/>
      <family val="2"/>
    </font>
    <font>
      <b val="true"/>
      <sz val="13"/>
      <color rgb="FF145F46"/>
      <name val="Arial"/>
      <family val="0"/>
      <charset val="1"/>
    </font>
    <font>
      <i val="true"/>
      <sz val="9"/>
      <color rgb="FF6B7280"/>
      <name val="Arial"/>
      <family val="0"/>
      <charset val="1"/>
    </font>
    <font>
      <b val="true"/>
      <i val="true"/>
      <sz val="10"/>
      <color rgb="FF1B7F5E"/>
      <name val="Arial"/>
      <family val="0"/>
      <charset val="1"/>
    </font>
    <font>
      <b val="true"/>
      <sz val="12"/>
      <color rgb="FF1B7F5E"/>
      <name val="Arial"/>
      <family val="0"/>
      <charset val="1"/>
    </font>
    <font>
      <b val="true"/>
      <sz val="16"/>
      <color rgb="FF1E1B4B"/>
      <name val="Arial"/>
      <family val="0"/>
      <charset val="1"/>
    </font>
    <font>
      <i val="true"/>
      <sz val="11"/>
      <color rgb="FF3730A3"/>
      <name val="Arial"/>
      <family val="0"/>
      <charset val="1"/>
    </font>
    <font>
      <i val="true"/>
      <sz val="8"/>
      <color rgb="FF6B7280"/>
      <name val="Arial"/>
      <family val="0"/>
      <charset val="1"/>
    </font>
    <font>
      <sz val="8"/>
      <color rgb="FF374151"/>
      <name val="Arial"/>
      <family val="0"/>
      <charset val="1"/>
    </font>
    <font>
      <sz val="8"/>
      <color rgb="FF4B5563"/>
      <name val="Arial"/>
      <family val="0"/>
      <charset val="1"/>
    </font>
    <font>
      <b val="true"/>
      <sz val="8"/>
      <color rgb="FFF59E0B"/>
      <name val="Arial"/>
      <family val="0"/>
      <charset val="1"/>
    </font>
    <font>
      <b val="true"/>
      <sz val="9"/>
      <color rgb="FF1E1B4B"/>
      <name val="Arial"/>
      <family val="0"/>
      <charset val="1"/>
    </font>
    <font>
      <b val="true"/>
      <sz val="8"/>
      <color rgb="FF2563EB"/>
      <name val="Arial"/>
      <family val="0"/>
      <charset val="1"/>
    </font>
  </fonts>
  <fills count="11">
    <fill>
      <patternFill patternType="none"/>
    </fill>
    <fill>
      <patternFill patternType="gray125"/>
    </fill>
    <fill>
      <patternFill patternType="solid">
        <fgColor rgb="FF145F46"/>
        <bgColor rgb="FF1B7F5E"/>
      </patternFill>
    </fill>
    <fill>
      <patternFill patternType="solid">
        <fgColor rgb="FF1B7F5E"/>
        <bgColor rgb="FF145F46"/>
      </patternFill>
    </fill>
    <fill>
      <patternFill patternType="solid">
        <fgColor rgb="FF6B7280"/>
        <bgColor rgb="FF878787"/>
      </patternFill>
    </fill>
    <fill>
      <patternFill patternType="solid">
        <fgColor rgb="FF7C3AED"/>
        <bgColor rgb="FF4C1D95"/>
      </patternFill>
    </fill>
    <fill>
      <patternFill patternType="solid">
        <fgColor rgb="FFE5E7EB"/>
        <bgColor rgb="FFDCDAFB"/>
      </patternFill>
    </fill>
    <fill>
      <patternFill patternType="solid">
        <fgColor rgb="FFDCDAFB"/>
        <bgColor rgb="FFD9D9D9"/>
      </patternFill>
    </fill>
    <fill>
      <patternFill patternType="solid">
        <fgColor rgb="FFF3F4F6"/>
        <bgColor rgb="FFFFF4FA"/>
      </patternFill>
    </fill>
    <fill>
      <patternFill patternType="solid">
        <fgColor rgb="FFFFF4FA"/>
        <bgColor rgb="FFF3F4F6"/>
      </patternFill>
    </fill>
    <fill>
      <patternFill patternType="solid">
        <fgColor rgb="FFC9C6F5"/>
        <bgColor rgb="FFD1D5DB"/>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6"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7" fontId="7" fillId="8" borderId="1" xfId="0" applyFont="true" applyBorder="true" applyAlignment="true" applyProtection="false">
      <alignment horizontal="center" vertical="center" textRotation="0" wrapText="true" indent="0" shrinkToFit="false"/>
      <protection locked="true" hidden="false"/>
    </xf>
    <xf numFmtId="166" fontId="7" fillId="8"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9" borderId="0" xfId="0" applyFont="true" applyBorder="true" applyAlignment="true" applyProtection="false">
      <alignment horizontal="center" vertical="center" textRotation="0" wrapText="true" indent="0" shrinkToFit="false"/>
      <protection locked="true" hidden="false"/>
    </xf>
    <xf numFmtId="164" fontId="25" fillId="7" borderId="0" xfId="0" applyFont="true" applyBorder="true" applyAlignment="true" applyProtection="false">
      <alignment horizontal="general" vertical="top" textRotation="0" wrapText="true" indent="0" shrinkToFit="false"/>
      <protection locked="true" hidden="false"/>
    </xf>
    <xf numFmtId="164" fontId="26" fillId="9" borderId="0" xfId="0" applyFont="true" applyBorder="true" applyAlignment="true" applyProtection="false">
      <alignment horizontal="general" vertical="top" textRotation="0" wrapText="true" indent="0" shrinkToFit="false"/>
      <protection locked="true" hidden="false"/>
    </xf>
    <xf numFmtId="164" fontId="26" fillId="9" borderId="0" xfId="0" applyFont="true" applyBorder="false" applyAlignment="true" applyProtection="false">
      <alignment horizontal="general" vertical="top" textRotation="0" wrapText="true" indent="0" shrinkToFit="false"/>
      <protection locked="true" hidden="false"/>
    </xf>
    <xf numFmtId="164" fontId="12" fillId="9" borderId="0" xfId="0" applyFont="true" applyBorder="true" applyAlignment="true" applyProtection="false">
      <alignment horizontal="general" vertical="top" textRotation="0" wrapText="true" indent="0" shrinkToFit="false"/>
      <protection locked="true" hidden="false"/>
    </xf>
    <xf numFmtId="164" fontId="0" fillId="9" borderId="0" xfId="0" applyFont="false" applyBorder="false" applyAlignment="true" applyProtection="false">
      <alignment horizontal="general" vertical="top" textRotation="0" wrapText="true" indent="0" shrinkToFit="false"/>
      <protection locked="true" hidden="false"/>
    </xf>
    <xf numFmtId="164" fontId="27" fillId="10" borderId="0" xfId="0" applyFont="true" applyBorder="true" applyAlignment="true" applyProtection="false">
      <alignment horizontal="general" vertical="top" textRotation="0" wrapText="true" indent="0" shrinkToFit="false"/>
      <protection locked="true" hidden="false"/>
    </xf>
    <xf numFmtId="164" fontId="26" fillId="7" borderId="0" xfId="0" applyFont="true" applyBorder="true" applyAlignment="true" applyProtection="false">
      <alignment horizontal="general" vertical="top" textRotation="0" wrapText="true" indent="0" shrinkToFit="false"/>
      <protection locked="true" hidden="false"/>
    </xf>
    <xf numFmtId="164" fontId="28" fillId="10" borderId="0" xfId="0" applyFont="true" applyBorder="true" applyAlignment="true" applyProtection="false">
      <alignment horizontal="general" vertical="top" textRotation="0" wrapText="true" indent="0" shrinkToFit="false"/>
      <protection locked="true" hidden="false"/>
    </xf>
    <xf numFmtId="164" fontId="12" fillId="7" borderId="0" xfId="0" applyFont="true" applyBorder="true" applyAlignment="true" applyProtection="false">
      <alignment horizontal="general" vertical="top" textRotation="0" wrapText="true" indent="0" shrinkToFit="false"/>
      <protection locked="true" hidden="false"/>
    </xf>
    <xf numFmtId="164" fontId="29" fillId="9" borderId="0" xfId="0" applyFont="true" applyBorder="true" applyAlignment="true" applyProtection="false">
      <alignment horizontal="general" vertical="top" textRotation="0" wrapText="true" indent="0" shrinkToFit="false"/>
      <protection locked="true" hidden="false"/>
    </xf>
    <xf numFmtId="164" fontId="0" fillId="10" borderId="0" xfId="0" applyFont="false" applyBorder="false" applyAlignment="true" applyProtection="false">
      <alignment horizontal="general" vertical="top" textRotation="0" wrapText="true" indent="0" shrinkToFit="false"/>
      <protection locked="true" hidden="false"/>
    </xf>
    <xf numFmtId="164" fontId="30" fillId="9" borderId="0" xfId="0" applyFont="true" applyBorder="true" applyAlignment="true" applyProtection="false">
      <alignment horizontal="general" vertical="top" textRotation="0" wrapText="true" indent="0" shrinkToFit="false"/>
      <protection locked="true" hidden="false"/>
    </xf>
    <xf numFmtId="164" fontId="31" fillId="10" borderId="0" xfId="0" applyFont="true" applyBorder="true" applyAlignment="true" applyProtection="false">
      <alignment horizontal="general" vertical="top" textRotation="0" wrapText="true" indent="0" shrinkToFit="false"/>
      <protection locked="true" hidden="false"/>
    </xf>
    <xf numFmtId="164" fontId="32" fillId="9" borderId="0" xfId="0" applyFont="true" applyBorder="false" applyAlignment="true" applyProtection="false">
      <alignment horizontal="general" vertical="top" textRotation="0" wrapText="true" indent="0" shrinkToFit="false"/>
      <protection locked="true" hidden="false"/>
    </xf>
    <xf numFmtId="166" fontId="33" fillId="9" borderId="0" xfId="0" applyFont="true" applyBorder="false" applyAlignment="true" applyProtection="false">
      <alignment horizontal="right" vertical="bottom" textRotation="0" wrapText="false" indent="0" shrinkToFit="false"/>
      <protection locked="true" hidden="false"/>
    </xf>
    <xf numFmtId="164" fontId="34" fillId="9" borderId="0" xfId="0" applyFont="true" applyBorder="false" applyAlignment="true" applyProtection="false">
      <alignment horizontal="general" vertical="top" textRotation="0" wrapText="true" indent="0" shrinkToFit="false"/>
      <protection locked="true" hidden="false"/>
    </xf>
    <xf numFmtId="164" fontId="33" fillId="10" borderId="0" xfId="0" applyFont="true" applyBorder="true" applyAlignment="true" applyProtection="false">
      <alignment horizontal="general" vertical="top" textRotation="0" wrapText="true" indent="0" shrinkToFit="false"/>
      <protection locked="true" hidden="false"/>
    </xf>
    <xf numFmtId="166" fontId="9" fillId="7" borderId="1" xfId="0" applyFont="true" applyBorder="true" applyAlignment="true" applyProtection="false">
      <alignment horizontal="center" vertical="center" textRotation="0" wrapText="true" indent="0" shrinkToFit="false"/>
      <protection locked="true" hidden="false"/>
    </xf>
    <xf numFmtId="168" fontId="9" fillId="7"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7F5E"/>
          <bgColor rgb="FF000000"/>
        </patternFill>
      </fill>
    </dxf>
    <dxf>
      <fill>
        <patternFill patternType="solid">
          <bgColor rgb="FF000000"/>
        </patternFill>
      </fill>
    </dxf>
    <dxf>
      <fill>
        <patternFill patternType="solid">
          <fgColor rgb="FF222222"/>
          <bgColor rgb="FF000000"/>
        </patternFill>
      </fill>
    </dxf>
    <dxf>
      <fill>
        <patternFill patternType="solid">
          <fgColor rgb="FFFFFFFF"/>
          <bgColor rgb="FF000000"/>
        </patternFill>
      </fill>
    </dxf>
    <dxf>
      <fill>
        <patternFill patternType="solid">
          <fgColor rgb="FF6B7280"/>
          <bgColor rgb="FF000000"/>
        </patternFill>
      </fill>
    </dxf>
    <dxf>
      <fill>
        <patternFill patternType="solid">
          <fgColor rgb="FF374151"/>
          <bgColor rgb="FF000000"/>
        </patternFill>
      </fill>
    </dxf>
    <dxf>
      <fill>
        <patternFill patternType="solid">
          <fgColor rgb="FF7C3AED"/>
          <bgColor rgb="FF000000"/>
        </patternFill>
      </fill>
    </dxf>
  </dxfs>
  <colors>
    <indexedColors>
      <rgbColor rgb="FF000000"/>
      <rgbColor rgb="FFFFFFFF"/>
      <rgbColor rgb="FFDC2626"/>
      <rgbColor rgb="FF00FF00"/>
      <rgbColor rgb="FF0000FF"/>
      <rgbColor rgb="FFFFFF00"/>
      <rgbColor rgb="FFFF00FF"/>
      <rgbColor rgb="FF00FFFF"/>
      <rgbColor rgb="FF800000"/>
      <rgbColor rgb="FF145F46"/>
      <rgbColor rgb="FF000080"/>
      <rgbColor rgb="FF555555"/>
      <rgbColor rgb="FF7C3AED"/>
      <rgbColor rgb="FF1B7F5E"/>
      <rgbColor rgb="FFD1D5DB"/>
      <rgbColor rgb="FF878787"/>
      <rgbColor rgb="FF9999FF"/>
      <rgbColor rgb="FFBE4B48"/>
      <rgbColor rgb="FFFFF4FA"/>
      <rgbColor rgb="FFF3F4F6"/>
      <rgbColor rgb="FF4C1D95"/>
      <rgbColor rgb="FFFF8080"/>
      <rgbColor rgb="FF0066CC"/>
      <rgbColor rgb="FFC9C6F5"/>
      <rgbColor rgb="FF000080"/>
      <rgbColor rgb="FFFF00FF"/>
      <rgbColor rgb="FFFFFF00"/>
      <rgbColor rgb="FF00FFFF"/>
      <rgbColor rgb="FF800080"/>
      <rgbColor rgb="FF800000"/>
      <rgbColor rgb="FF0891B2"/>
      <rgbColor rgb="FF0000FF"/>
      <rgbColor rgb="FF00CCFF"/>
      <rgbColor rgb="FFE5E7EB"/>
      <rgbColor rgb="FFD9D9D9"/>
      <rgbColor rgb="FFFFFF99"/>
      <rgbColor rgb="FFDCDAFB"/>
      <rgbColor rgb="FFFF99CC"/>
      <rgbColor rgb="FFCC99FF"/>
      <rgbColor rgb="FFFFCC99"/>
      <rgbColor rgb="FF2563EB"/>
      <rgbColor rgb="FF33CCCC"/>
      <rgbColor rgb="FF99CC00"/>
      <rgbColor rgb="FFFFCC00"/>
      <rgbColor rgb="FFF59E0B"/>
      <rgbColor rgb="FFFF6600"/>
      <rgbColor rgb="FF6B7280"/>
      <rgbColor rgb="FF969696"/>
      <rgbColor rgb="FF1E1B4B"/>
      <rgbColor rgb="FF4B5563"/>
      <rgbColor rgb="FF003300"/>
      <rgbColor rgb="FF222222"/>
      <rgbColor rgb="FF7A1F1F"/>
      <rgbColor rgb="FFB45309"/>
      <rgbColor rgb="FF3730A3"/>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How often do respondents open Canvas?</a:t>
            </a:r>
          </a:p>
        </c:rich>
      </c:tx>
      <c:overlay val="0"/>
      <c:spPr>
        <a:noFill/>
        <a:ln w="0">
          <a:noFill/>
        </a:ln>
      </c:spPr>
    </c:title>
    <c:autoTitleDeleted val="0"/>
    <c:plotArea>
      <c:barChart>
        <c:barDir val="bar"/>
        <c:grouping val="clustered"/>
        <c:varyColors val="0"/>
        <c:ser>
          <c:idx val="0"/>
          <c:order val="0"/>
          <c:spPr>
            <a:solidFill>
              <a:srgbClr val="1b7f5e"/>
            </a:solidFill>
            <a:ln w="9360">
              <a:solidFill>
                <a:srgbClr val="1b7f5e"/>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'1-Patterns'!$B$76:$B$81</c:f>
              <c:strCache>
                <c:ptCount val="6"/>
                <c:pt idx="0">
                  <c:v>Less than once a week</c:v>
                </c:pt>
                <c:pt idx="1">
                  <c:v>About once a week</c:v>
                </c:pt>
                <c:pt idx="2">
                  <c:v>2-3 times a week</c:v>
                </c:pt>
                <c:pt idx="3">
                  <c:v>4-6 times a week</c:v>
                </c:pt>
                <c:pt idx="4">
                  <c:v>About once a day</c:v>
                </c:pt>
                <c:pt idx="5">
                  <c:v>Several times a day</c:v>
                </c:pt>
              </c:strCache>
            </c:strRef>
          </c:cat>
          <c:val>
            <c:numRef>
              <c:f>'1-Patterns'!$E$76:$E$81</c:f>
              <c:numCache>
                <c:formatCode>0%</c:formatCode>
                <c:ptCount val="6"/>
                <c:pt idx="0">
                  <c:v>0.032258064516129</c:v>
                </c:pt>
                <c:pt idx="1">
                  <c:v>0.0806451612903226</c:v>
                </c:pt>
                <c:pt idx="2">
                  <c:v>0.120967741935484</c:v>
                </c:pt>
                <c:pt idx="3">
                  <c:v>0.193548387096774</c:v>
                </c:pt>
                <c:pt idx="4">
                  <c:v>0.258064516129032</c:v>
                </c:pt>
                <c:pt idx="5">
                  <c:v>0.314516129032258</c:v>
                </c:pt>
              </c:numCache>
            </c:numRef>
          </c:val>
        </c:ser>
        <c:gapWidth val="150"/>
        <c:overlap val="0"/>
        <c:axId val="29955043"/>
        <c:axId val="29469830"/>
      </c:barChart>
      <c:catAx>
        <c:axId val="299550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469830"/>
        <c:crosses val="autoZero"/>
        <c:auto val="1"/>
        <c:lblAlgn val="ctr"/>
        <c:lblOffset val="100"/>
        <c:noMultiLvlLbl val="0"/>
      </c:catAx>
      <c:valAx>
        <c:axId val="29469830"/>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5504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Parts of Canvas used in the last 7 days</a:t>
            </a:r>
          </a:p>
        </c:rich>
      </c:tx>
      <c:overlay val="0"/>
      <c:spPr>
        <a:noFill/>
        <a:ln w="0">
          <a:noFill/>
        </a:ln>
      </c:spPr>
    </c:title>
    <c:autoTitleDeleted val="0"/>
    <c:plotArea>
      <c:barChart>
        <c:barDir val="bar"/>
        <c:grouping val="clustered"/>
        <c:varyColors val="0"/>
        <c:ser>
          <c:idx val="0"/>
          <c:order val="0"/>
          <c:spPr>
            <a:solidFill>
              <a:srgbClr val="1b7f5e"/>
            </a:solidFill>
            <a:ln w="9360">
              <a:solidFill>
                <a:srgbClr val="1b7f5e"/>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'1-Patterns'!$B$111:$B$121</c:f>
              <c:strCache>
                <c:ptCount val="11"/>
                <c:pt idx="0">
                  <c:v>Announcements</c:v>
                </c:pt>
                <c:pt idx="1">
                  <c:v>Assignments (submitting or grading)</c:v>
                </c:pt>
                <c:pt idx="2">
                  <c:v>Grades / feedback</c:v>
                </c:pt>
                <c:pt idx="3">
                  <c:v>Modules or Files (course materials)</c:v>
                </c:pt>
                <c:pt idx="4">
                  <c:v>Calendar / To-do list</c:v>
                </c:pt>
                <c:pt idx="5">
                  <c:v>Inbox (messages)</c:v>
                </c:pt>
                <c:pt idx="6">
                  <c:v>Discussions</c:v>
                </c:pt>
                <c:pt idx="7">
                  <c:v>Quizzes</c:v>
                </c:pt>
                <c:pt idx="8">
                  <c:v>Lecture recordings (video)</c:v>
                </c:pt>
                <c:pt idx="9">
                  <c:v>Groups / People</c:v>
                </c:pt>
                <c:pt idx="10">
                  <c:v>Syllabus page</c:v>
                </c:pt>
              </c:strCache>
            </c:strRef>
          </c:cat>
          <c:val>
            <c:numRef>
              <c:f>'1-Patterns'!$E$111:$E$121</c:f>
              <c:numCache>
                <c:formatCode>0%</c:formatCode>
                <c:ptCount val="11"/>
                <c:pt idx="0">
                  <c:v>0.830645161290323</c:v>
                </c:pt>
                <c:pt idx="1">
                  <c:v>0.758064516129032</c:v>
                </c:pt>
                <c:pt idx="2">
                  <c:v>0.629032258064516</c:v>
                </c:pt>
                <c:pt idx="3">
                  <c:v>0.75</c:v>
                </c:pt>
                <c:pt idx="4">
                  <c:v>0.459677419354839</c:v>
                </c:pt>
                <c:pt idx="5">
                  <c:v>0.32258064516129</c:v>
                </c:pt>
                <c:pt idx="6">
                  <c:v>0.225806451612903</c:v>
                </c:pt>
                <c:pt idx="7">
                  <c:v>0.306451612903226</c:v>
                </c:pt>
                <c:pt idx="8">
                  <c:v>0.524193548387097</c:v>
                </c:pt>
                <c:pt idx="9">
                  <c:v>0.274193548387097</c:v>
                </c:pt>
                <c:pt idx="10">
                  <c:v>0.241935483870968</c:v>
                </c:pt>
              </c:numCache>
            </c:numRef>
          </c:val>
        </c:ser>
        <c:gapWidth val="150"/>
        <c:overlap val="0"/>
        <c:axId val="29053401"/>
        <c:axId val="47010586"/>
      </c:barChart>
      <c:catAx>
        <c:axId val="290534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010586"/>
        <c:crosses val="autoZero"/>
        <c:auto val="1"/>
        <c:lblAlgn val="ctr"/>
        <c:lblOffset val="100"/>
        <c:noMultiLvlLbl val="0"/>
      </c:catAx>
      <c:valAx>
        <c:axId val="47010586"/>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0534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How did you first find out about your last deadline?</a:t>
            </a:r>
          </a:p>
        </c:rich>
      </c:tx>
      <c:overlay val="0"/>
      <c:spPr>
        <a:noFill/>
        <a:ln w="0">
          <a:noFill/>
        </a:ln>
      </c:spPr>
    </c:title>
    <c:autoTitleDeleted val="0"/>
    <c:plotArea>
      <c:barChart>
        <c:barDir val="bar"/>
        <c:grouping val="clustered"/>
        <c:varyColors val="0"/>
        <c:ser>
          <c:idx val="0"/>
          <c:order val="0"/>
          <c:spPr>
            <a:solidFill>
              <a:srgbClr val="b45309"/>
            </a:solidFill>
            <a:ln w="9360">
              <a:solidFill>
                <a:srgbClr val="b4530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'1-Patterns'!$B$126:$B$133</c:f>
              <c:strCache>
                <c:ptCount val="8"/>
                <c:pt idx="0">
                  <c:v>Canvas calendar or To-do list</c:v>
                </c:pt>
                <c:pt idx="1">
                  <c:v>Canvas e-mail notification</c:v>
                </c:pt>
                <c:pt idx="2">
                  <c:v>Canvas push notification on my phone</c:v>
                </c:pt>
                <c:pt idx="3">
                  <c:v>It was announced in class</c:v>
                </c:pt>
                <c:pt idx="4">
                  <c:v>A classmate or colleague told me (e.g. WhatsApp)</c:v>
                </c:pt>
                <c:pt idx="5">
                  <c:v>The syllabus or course guide</c:v>
                </c:pt>
                <c:pt idx="6">
                  <c:v>My own calendar or planner</c:v>
                </c:pt>
                <c:pt idx="7">
                  <c:v>I found out late or missed it</c:v>
                </c:pt>
              </c:strCache>
            </c:strRef>
          </c:cat>
          <c:val>
            <c:numRef>
              <c:f>'1-Patterns'!$E$126:$E$133</c:f>
              <c:numCache>
                <c:formatCode>0%</c:formatCode>
                <c:ptCount val="8"/>
                <c:pt idx="0">
                  <c:v>0.362903225806452</c:v>
                </c:pt>
                <c:pt idx="1">
                  <c:v>0.370967741935484</c:v>
                </c:pt>
                <c:pt idx="2">
                  <c:v>0.185483870967742</c:v>
                </c:pt>
                <c:pt idx="3">
                  <c:v>0.201612903225806</c:v>
                </c:pt>
                <c:pt idx="4">
                  <c:v>0.395161290322581</c:v>
                </c:pt>
                <c:pt idx="5">
                  <c:v>0.314516129032258</c:v>
                </c:pt>
                <c:pt idx="6">
                  <c:v>0.475806451612903</c:v>
                </c:pt>
                <c:pt idx="7">
                  <c:v>0.137096774193548</c:v>
                </c:pt>
              </c:numCache>
            </c:numRef>
          </c:val>
        </c:ser>
        <c:gapWidth val="150"/>
        <c:overlap val="0"/>
        <c:axId val="93229560"/>
        <c:axId val="2624822"/>
      </c:barChart>
      <c:catAx>
        <c:axId val="932295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24822"/>
        <c:crosses val="autoZero"/>
        <c:auto val="1"/>
        <c:lblAlgn val="ctr"/>
        <c:lblOffset val="100"/>
        <c:noMultiLvlLbl val="0"/>
      </c:catAx>
      <c:valAx>
        <c:axId val="2624822"/>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2295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Mean agreement per statement (1-7)</a:t>
            </a:r>
          </a:p>
        </c:rich>
      </c:tx>
      <c:overlay val="0"/>
      <c:spPr>
        <a:noFill/>
        <a:ln w="0">
          <a:noFill/>
        </a:ln>
      </c:spPr>
    </c:title>
    <c:autoTitleDeleted val="0"/>
    <c:plotArea>
      <c:barChart>
        <c:barDir val="bar"/>
        <c:grouping val="clustered"/>
        <c:varyColors val="0"/>
        <c:ser>
          <c:idx val="0"/>
          <c:order val="0"/>
          <c:spPr>
            <a:solidFill>
              <a:srgbClr val="4c1d95"/>
            </a:solidFill>
            <a:ln w="9360">
              <a:solidFill>
                <a:srgbClr val="4c1d95"/>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'1-Patterns'!$C$163:$C$172</c:f>
              <c:strCache>
                <c:ptCount val="10"/>
                <c:pt idx="0">
                  <c:v>C1</c:v>
                </c:pt>
                <c:pt idx="1">
                  <c:v>C2</c:v>
                </c:pt>
                <c:pt idx="2">
                  <c:v>C3</c:v>
                </c:pt>
                <c:pt idx="3">
                  <c:v>C4</c:v>
                </c:pt>
                <c:pt idx="4">
                  <c:v>C5</c:v>
                </c:pt>
                <c:pt idx="5">
                  <c:v>C6</c:v>
                </c:pt>
                <c:pt idx="6">
                  <c:v>C7</c:v>
                </c:pt>
                <c:pt idx="7">
                  <c:v>C8</c:v>
                </c:pt>
                <c:pt idx="8">
                  <c:v>C9</c:v>
                </c:pt>
                <c:pt idx="9">
                  <c:v>C10</c:v>
                </c:pt>
              </c:strCache>
            </c:strRef>
          </c:cat>
          <c:val>
            <c:numRef>
              <c:f>'1-Patterns'!$D$163:$D$172</c:f>
              <c:numCache>
                <c:formatCode>0.00</c:formatCode>
                <c:ptCount val="10"/>
                <c:pt idx="0">
                  <c:v>3.5241935483871</c:v>
                </c:pt>
                <c:pt idx="1">
                  <c:v>4.38709677419355</c:v>
                </c:pt>
                <c:pt idx="2">
                  <c:v>3.99193548387097</c:v>
                </c:pt>
                <c:pt idx="3">
                  <c:v>5.07258064516129</c:v>
                </c:pt>
                <c:pt idx="4">
                  <c:v>3.2741935483871</c:v>
                </c:pt>
                <c:pt idx="5">
                  <c:v>3.08870967741936</c:v>
                </c:pt>
                <c:pt idx="6">
                  <c:v>4.29032258064516</c:v>
                </c:pt>
                <c:pt idx="7">
                  <c:v>4.91935483870968</c:v>
                </c:pt>
                <c:pt idx="8">
                  <c:v>4.94354838709677</c:v>
                </c:pt>
                <c:pt idx="9">
                  <c:v>3.62096774193548</c:v>
                </c:pt>
              </c:numCache>
            </c:numRef>
          </c:val>
        </c:ser>
        <c:gapWidth val="150"/>
        <c:overlap val="0"/>
        <c:axId val="19683196"/>
        <c:axId val="26639064"/>
      </c:barChart>
      <c:catAx>
        <c:axId val="196831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39064"/>
        <c:crosses val="autoZero"/>
        <c:auto val="1"/>
        <c:lblAlgn val="ctr"/>
        <c:lblOffset val="100"/>
        <c:noMultiLvlLbl val="0"/>
      </c:catAx>
      <c:valAx>
        <c:axId val="26639064"/>
        <c:scaling>
          <c:orientation val="minMax"/>
          <c:max val="7"/>
          <c:min val="0"/>
        </c:scaling>
        <c:delete val="0"/>
        <c:axPos val="l"/>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6831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Inertia by k</a:t>
            </a:r>
          </a:p>
        </c:rich>
      </c:tx>
      <c:overlay val="0"/>
      <c:spPr>
        <a:noFill/>
        <a:ln w="0">
          <a:noFill/>
        </a:ln>
      </c:spPr>
    </c:title>
    <c:autoTitleDeleted val="0"/>
    <c:plotArea>
      <c:lineChart>
        <c:grouping val="standard"/>
        <c:varyColors val="0"/>
        <c:ser>
          <c:idx val="0"/>
          <c:order val="0"/>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'2-Segments'!$B$6:$B$12</c:f>
              <c:strCache>
                <c:ptCount val="7"/>
                <c:pt idx="0">
                  <c:v>2</c:v>
                </c:pt>
                <c:pt idx="1">
                  <c:v>3</c:v>
                </c:pt>
                <c:pt idx="2">
                  <c:v>4</c:v>
                </c:pt>
                <c:pt idx="3">
                  <c:v>5</c:v>
                </c:pt>
                <c:pt idx="4">
                  <c:v>6</c:v>
                </c:pt>
                <c:pt idx="5">
                  <c:v>7</c:v>
                </c:pt>
                <c:pt idx="6">
                  <c:v>8</c:v>
                </c:pt>
              </c:strCache>
            </c:strRef>
          </c:cat>
          <c:val>
            <c:numRef>
              <c:f>'2-Segments'!$C$6:$C$12</c:f>
              <c:numCache>
                <c:formatCode>0.0</c:formatCode>
                <c:ptCount val="7"/>
                <c:pt idx="0">
                  <c:v>2514.9</c:v>
                </c:pt>
                <c:pt idx="1">
                  <c:v>2247.4</c:v>
                </c:pt>
                <c:pt idx="2">
                  <c:v>2018.9</c:v>
                </c:pt>
                <c:pt idx="3">
                  <c:v>1822.4</c:v>
                </c:pt>
                <c:pt idx="4">
                  <c:v>1716.9</c:v>
                </c:pt>
                <c:pt idx="5">
                  <c:v>1648</c:v>
                </c:pt>
                <c:pt idx="6">
                  <c:v>1606.1</c:v>
                </c:pt>
              </c:numCache>
            </c:numRef>
          </c:val>
          <c:smooth val="1"/>
        </c:ser>
        <c:hiLowLines>
          <c:spPr>
            <a:ln w="0">
              <a:noFill/>
            </a:ln>
          </c:spPr>
        </c:hiLowLines>
        <c:marker val="0"/>
        <c:axId val="74473268"/>
        <c:axId val="30934705"/>
      </c:lineChart>
      <c:catAx>
        <c:axId val="7447326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934705"/>
        <c:crosses val="autoZero"/>
        <c:auto val="1"/>
        <c:lblAlgn val="ctr"/>
        <c:lblOffset val="100"/>
        <c:noMultiLvlLbl val="0"/>
      </c:catAx>
      <c:valAx>
        <c:axId val="30934705"/>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4732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Silhouette by k</a:t>
            </a:r>
          </a:p>
        </c:rich>
      </c:tx>
      <c:overlay val="0"/>
      <c:spPr>
        <a:noFill/>
        <a:ln w="0">
          <a:noFill/>
        </a:ln>
      </c:spPr>
    </c:title>
    <c:autoTitleDeleted val="0"/>
    <c:plotArea>
      <c:lineChart>
        <c:grouping val="standard"/>
        <c:varyColors val="0"/>
        <c:ser>
          <c:idx val="0"/>
          <c:order val="0"/>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'2-Segments'!$B$6:$B$12</c:f>
              <c:strCache>
                <c:ptCount val="7"/>
                <c:pt idx="0">
                  <c:v>2</c:v>
                </c:pt>
                <c:pt idx="1">
                  <c:v>3</c:v>
                </c:pt>
                <c:pt idx="2">
                  <c:v>4</c:v>
                </c:pt>
                <c:pt idx="3">
                  <c:v>5</c:v>
                </c:pt>
                <c:pt idx="4">
                  <c:v>6</c:v>
                </c:pt>
                <c:pt idx="5">
                  <c:v>7</c:v>
                </c:pt>
                <c:pt idx="6">
                  <c:v>8</c:v>
                </c:pt>
              </c:strCache>
            </c:strRef>
          </c:cat>
          <c:val>
            <c:numRef>
              <c:f>'2-Segments'!$D$6:$D$12</c:f>
              <c:numCache>
                <c:formatCode>0.000</c:formatCode>
                <c:ptCount val="7"/>
                <c:pt idx="0">
                  <c:v>0.146</c:v>
                </c:pt>
                <c:pt idx="1">
                  <c:v>0.156</c:v>
                </c:pt>
                <c:pt idx="2">
                  <c:v>0.17</c:v>
                </c:pt>
                <c:pt idx="3">
                  <c:v>0.18</c:v>
                </c:pt>
                <c:pt idx="4">
                  <c:v>0.176</c:v>
                </c:pt>
                <c:pt idx="5">
                  <c:v>0.16</c:v>
                </c:pt>
                <c:pt idx="6">
                  <c:v>0.132</c:v>
                </c:pt>
              </c:numCache>
            </c:numRef>
          </c:val>
          <c:smooth val="1"/>
        </c:ser>
        <c:hiLowLines>
          <c:spPr>
            <a:ln w="0">
              <a:noFill/>
            </a:ln>
          </c:spPr>
        </c:hiLowLines>
        <c:marker val="0"/>
        <c:axId val="77162778"/>
        <c:axId val="29702374"/>
      </c:lineChart>
      <c:catAx>
        <c:axId val="7716277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702374"/>
        <c:crosses val="autoZero"/>
        <c:auto val="1"/>
        <c:lblAlgn val="ctr"/>
        <c:lblOffset val="100"/>
        <c:noMultiLvlLbl val="0"/>
      </c:catAx>
      <c:valAx>
        <c:axId val="29702374"/>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1627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Respondents on PC1 / PC2 by segment</a:t>
            </a:r>
          </a:p>
        </c:rich>
      </c:tx>
      <c:overlay val="0"/>
      <c:spPr>
        <a:noFill/>
        <a:ln w="0">
          <a:noFill/>
        </a:ln>
      </c:spPr>
    </c:title>
    <c:autoTitleDeleted val="0"/>
    <c:plotArea>
      <c:scatterChart>
        <c:scatterStyle val="lineMarker"/>
        <c:varyColors val="0"/>
        <c:ser>
          <c:idx val="0"/>
          <c:order val="0"/>
          <c:tx>
            <c:strRef>
              <c:f>"S1 Deadline Sprinters"</c:f>
              <c:strCache>
                <c:ptCount val="1"/>
                <c:pt idx="0">
                  <c:v>S1 Deadline Sprinters</c:v>
                </c:pt>
              </c:strCache>
            </c:strRef>
          </c:tx>
          <c:spPr>
            <a:solidFill>
              <a:srgbClr val="1b7f5e"/>
            </a:solidFill>
            <a:ln w="47520">
              <a:noFill/>
            </a:ln>
          </c:spPr>
          <c:marker>
            <c:symbol val="circle"/>
            <c:size val="6"/>
            <c:spPr>
              <a:solidFill>
                <a:srgbClr val="1b7f5e"/>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'2-Segments'!$B$130:$B$163</c:f>
              <c:numCache>
                <c:formatCode>General</c:formatCode>
                <c:ptCount val="34"/>
                <c:pt idx="0">
                  <c:v>-1.973</c:v>
                </c:pt>
                <c:pt idx="1">
                  <c:v>-3.062</c:v>
                </c:pt>
                <c:pt idx="2">
                  <c:v>-2.868</c:v>
                </c:pt>
                <c:pt idx="3">
                  <c:v>-2.239</c:v>
                </c:pt>
                <c:pt idx="4">
                  <c:v>-3.233</c:v>
                </c:pt>
                <c:pt idx="5">
                  <c:v>-3.206</c:v>
                </c:pt>
                <c:pt idx="6">
                  <c:v>-1.609</c:v>
                </c:pt>
                <c:pt idx="7">
                  <c:v>-2.621</c:v>
                </c:pt>
                <c:pt idx="8">
                  <c:v>-2.374</c:v>
                </c:pt>
                <c:pt idx="9">
                  <c:v>-4.256</c:v>
                </c:pt>
                <c:pt idx="10">
                  <c:v>-3.459</c:v>
                </c:pt>
                <c:pt idx="11">
                  <c:v>-3.105</c:v>
                </c:pt>
                <c:pt idx="12">
                  <c:v>-1.768</c:v>
                </c:pt>
                <c:pt idx="13">
                  <c:v>-3.928</c:v>
                </c:pt>
                <c:pt idx="14">
                  <c:v>-3.668</c:v>
                </c:pt>
                <c:pt idx="15">
                  <c:v>-2.967</c:v>
                </c:pt>
                <c:pt idx="16">
                  <c:v>-2.946</c:v>
                </c:pt>
                <c:pt idx="17">
                  <c:v>-3.935</c:v>
                </c:pt>
                <c:pt idx="18">
                  <c:v>-1.747</c:v>
                </c:pt>
                <c:pt idx="19">
                  <c:v>-2.51</c:v>
                </c:pt>
                <c:pt idx="20">
                  <c:v>-3.472</c:v>
                </c:pt>
                <c:pt idx="21">
                  <c:v>-2.132</c:v>
                </c:pt>
                <c:pt idx="22">
                  <c:v>-3.175</c:v>
                </c:pt>
                <c:pt idx="23">
                  <c:v>-3.027</c:v>
                </c:pt>
                <c:pt idx="24">
                  <c:v>-2.082</c:v>
                </c:pt>
                <c:pt idx="25">
                  <c:v>-1.317</c:v>
                </c:pt>
                <c:pt idx="26">
                  <c:v>-2.248</c:v>
                </c:pt>
                <c:pt idx="27">
                  <c:v>-2.355</c:v>
                </c:pt>
                <c:pt idx="28">
                  <c:v>-3.948</c:v>
                </c:pt>
                <c:pt idx="29">
                  <c:v>-2.218</c:v>
                </c:pt>
                <c:pt idx="30">
                  <c:v>-3.667</c:v>
                </c:pt>
                <c:pt idx="31">
                  <c:v>-2.58</c:v>
                </c:pt>
                <c:pt idx="32">
                  <c:v>-1.566</c:v>
                </c:pt>
                <c:pt idx="33">
                  <c:v>-2.311</c:v>
                </c:pt>
              </c:numCache>
            </c:numRef>
          </c:xVal>
          <c:yVal>
            <c:numRef>
              <c:f>'2-Segments'!$C$130:$C$163</c:f>
              <c:numCache>
                <c:formatCode>General</c:formatCode>
                <c:ptCount val="34"/>
                <c:pt idx="0">
                  <c:v>-2.043</c:v>
                </c:pt>
                <c:pt idx="1">
                  <c:v>-1.57</c:v>
                </c:pt>
                <c:pt idx="2">
                  <c:v>-0.913</c:v>
                </c:pt>
                <c:pt idx="3">
                  <c:v>-0.635</c:v>
                </c:pt>
                <c:pt idx="4">
                  <c:v>-0.566</c:v>
                </c:pt>
                <c:pt idx="5">
                  <c:v>-2.275</c:v>
                </c:pt>
                <c:pt idx="6">
                  <c:v>-0.673</c:v>
                </c:pt>
                <c:pt idx="7">
                  <c:v>-0.135</c:v>
                </c:pt>
                <c:pt idx="8">
                  <c:v>-0.138</c:v>
                </c:pt>
                <c:pt idx="9">
                  <c:v>0.886</c:v>
                </c:pt>
                <c:pt idx="10">
                  <c:v>-0.656</c:v>
                </c:pt>
                <c:pt idx="11">
                  <c:v>1.777</c:v>
                </c:pt>
                <c:pt idx="12">
                  <c:v>-0.692</c:v>
                </c:pt>
                <c:pt idx="13">
                  <c:v>-1.434</c:v>
                </c:pt>
                <c:pt idx="14">
                  <c:v>-1.18</c:v>
                </c:pt>
                <c:pt idx="15">
                  <c:v>-0.543</c:v>
                </c:pt>
                <c:pt idx="16">
                  <c:v>-1.054</c:v>
                </c:pt>
                <c:pt idx="17">
                  <c:v>-0.182</c:v>
                </c:pt>
                <c:pt idx="18">
                  <c:v>0.497</c:v>
                </c:pt>
                <c:pt idx="19">
                  <c:v>-1.008</c:v>
                </c:pt>
                <c:pt idx="20">
                  <c:v>-1.647</c:v>
                </c:pt>
                <c:pt idx="21">
                  <c:v>-1.576</c:v>
                </c:pt>
                <c:pt idx="22">
                  <c:v>-0.461</c:v>
                </c:pt>
                <c:pt idx="23">
                  <c:v>-2.417</c:v>
                </c:pt>
                <c:pt idx="24">
                  <c:v>0.465</c:v>
                </c:pt>
                <c:pt idx="25">
                  <c:v>-1.552</c:v>
                </c:pt>
                <c:pt idx="26">
                  <c:v>-2.375</c:v>
                </c:pt>
                <c:pt idx="27">
                  <c:v>0.07</c:v>
                </c:pt>
                <c:pt idx="28">
                  <c:v>0.046</c:v>
                </c:pt>
                <c:pt idx="29">
                  <c:v>-0.195</c:v>
                </c:pt>
                <c:pt idx="30">
                  <c:v>-0.819</c:v>
                </c:pt>
                <c:pt idx="31">
                  <c:v>-1.476</c:v>
                </c:pt>
                <c:pt idx="32">
                  <c:v>-1.475</c:v>
                </c:pt>
                <c:pt idx="33">
                  <c:v>-0.803</c:v>
                </c:pt>
              </c:numCache>
            </c:numRef>
          </c:yVal>
          <c:smooth val="1"/>
        </c:ser>
        <c:ser>
          <c:idx val="1"/>
          <c:order val="1"/>
          <c:tx>
            <c:strRef>
              <c:f>"S2 Structured Scholars"</c:f>
              <c:strCache>
                <c:ptCount val="1"/>
                <c:pt idx="0">
                  <c:v>S2 Structured Scholars</c:v>
                </c:pt>
              </c:strCache>
            </c:strRef>
          </c:tx>
          <c:spPr>
            <a:solidFill>
              <a:srgbClr val="2563eb"/>
            </a:solidFill>
            <a:ln w="47520">
              <a:noFill/>
            </a:ln>
          </c:spPr>
          <c:marker>
            <c:symbol val="circle"/>
            <c:size val="6"/>
            <c:spPr>
              <a:solidFill>
                <a:srgbClr val="2563e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'2-Segments'!$D$130:$D$158</c:f>
              <c:numCache>
                <c:formatCode>General</c:formatCode>
                <c:ptCount val="29"/>
                <c:pt idx="0">
                  <c:v>2.285</c:v>
                </c:pt>
                <c:pt idx="1">
                  <c:v>0.003</c:v>
                </c:pt>
                <c:pt idx="2">
                  <c:v>1.942</c:v>
                </c:pt>
                <c:pt idx="3">
                  <c:v>0.922</c:v>
                </c:pt>
                <c:pt idx="4">
                  <c:v>0.791</c:v>
                </c:pt>
                <c:pt idx="5">
                  <c:v>0.704</c:v>
                </c:pt>
                <c:pt idx="6">
                  <c:v>2.556</c:v>
                </c:pt>
                <c:pt idx="7">
                  <c:v>1.014</c:v>
                </c:pt>
                <c:pt idx="8">
                  <c:v>2.535</c:v>
                </c:pt>
                <c:pt idx="9">
                  <c:v>1.143</c:v>
                </c:pt>
                <c:pt idx="10">
                  <c:v>1.677</c:v>
                </c:pt>
                <c:pt idx="11">
                  <c:v>1.041</c:v>
                </c:pt>
                <c:pt idx="12">
                  <c:v>0.307</c:v>
                </c:pt>
                <c:pt idx="13">
                  <c:v>1.034</c:v>
                </c:pt>
                <c:pt idx="14">
                  <c:v>1.172</c:v>
                </c:pt>
                <c:pt idx="15">
                  <c:v>1.182</c:v>
                </c:pt>
                <c:pt idx="16">
                  <c:v>0.875</c:v>
                </c:pt>
                <c:pt idx="17">
                  <c:v>1.321</c:v>
                </c:pt>
                <c:pt idx="18">
                  <c:v>2.123</c:v>
                </c:pt>
                <c:pt idx="19">
                  <c:v>0.077</c:v>
                </c:pt>
                <c:pt idx="20">
                  <c:v>0.299</c:v>
                </c:pt>
                <c:pt idx="21">
                  <c:v>0.609</c:v>
                </c:pt>
                <c:pt idx="22">
                  <c:v>0.469</c:v>
                </c:pt>
                <c:pt idx="23">
                  <c:v>1.068</c:v>
                </c:pt>
                <c:pt idx="24">
                  <c:v>0.428</c:v>
                </c:pt>
                <c:pt idx="25">
                  <c:v>0.396</c:v>
                </c:pt>
                <c:pt idx="26">
                  <c:v>0.869</c:v>
                </c:pt>
                <c:pt idx="27">
                  <c:v>0.745</c:v>
                </c:pt>
                <c:pt idx="28">
                  <c:v>1.352</c:v>
                </c:pt>
              </c:numCache>
            </c:numRef>
          </c:xVal>
          <c:yVal>
            <c:numRef>
              <c:f>'2-Segments'!$E$130:$E$158</c:f>
              <c:numCache>
                <c:formatCode>General</c:formatCode>
                <c:ptCount val="29"/>
                <c:pt idx="0">
                  <c:v>2.185</c:v>
                </c:pt>
                <c:pt idx="1">
                  <c:v>2.569</c:v>
                </c:pt>
                <c:pt idx="2">
                  <c:v>1.078</c:v>
                </c:pt>
                <c:pt idx="3">
                  <c:v>1.664</c:v>
                </c:pt>
                <c:pt idx="4">
                  <c:v>1.322</c:v>
                </c:pt>
                <c:pt idx="5">
                  <c:v>1.077</c:v>
                </c:pt>
                <c:pt idx="6">
                  <c:v>1.847</c:v>
                </c:pt>
                <c:pt idx="7">
                  <c:v>1.616</c:v>
                </c:pt>
                <c:pt idx="8">
                  <c:v>1.641</c:v>
                </c:pt>
                <c:pt idx="9">
                  <c:v>1.02</c:v>
                </c:pt>
                <c:pt idx="10">
                  <c:v>3.097</c:v>
                </c:pt>
                <c:pt idx="11">
                  <c:v>1.423</c:v>
                </c:pt>
                <c:pt idx="12">
                  <c:v>2.961</c:v>
                </c:pt>
                <c:pt idx="13">
                  <c:v>2.557</c:v>
                </c:pt>
                <c:pt idx="14">
                  <c:v>2.19</c:v>
                </c:pt>
                <c:pt idx="15">
                  <c:v>1.342</c:v>
                </c:pt>
                <c:pt idx="16">
                  <c:v>2.553</c:v>
                </c:pt>
                <c:pt idx="17">
                  <c:v>2.133</c:v>
                </c:pt>
                <c:pt idx="18">
                  <c:v>2.973</c:v>
                </c:pt>
                <c:pt idx="19">
                  <c:v>2.397</c:v>
                </c:pt>
                <c:pt idx="20">
                  <c:v>3.015</c:v>
                </c:pt>
                <c:pt idx="21">
                  <c:v>1.76</c:v>
                </c:pt>
                <c:pt idx="22">
                  <c:v>1.897</c:v>
                </c:pt>
                <c:pt idx="23">
                  <c:v>1.494</c:v>
                </c:pt>
                <c:pt idx="24">
                  <c:v>2.539</c:v>
                </c:pt>
                <c:pt idx="25">
                  <c:v>1.701</c:v>
                </c:pt>
                <c:pt idx="26">
                  <c:v>1.268</c:v>
                </c:pt>
                <c:pt idx="27">
                  <c:v>0.993</c:v>
                </c:pt>
                <c:pt idx="28">
                  <c:v>1.857</c:v>
                </c:pt>
              </c:numCache>
            </c:numRef>
          </c:yVal>
          <c:smooth val="1"/>
        </c:ser>
        <c:ser>
          <c:idx val="2"/>
          <c:order val="2"/>
          <c:tx>
            <c:strRef>
              <c:f>"S3 Overloaded Jugglers"</c:f>
              <c:strCache>
                <c:ptCount val="1"/>
                <c:pt idx="0">
                  <c:v>S3 Overloaded Jugglers</c:v>
                </c:pt>
              </c:strCache>
            </c:strRef>
          </c:tx>
          <c:spPr>
            <a:solidFill>
              <a:srgbClr val="b45309"/>
            </a:solidFill>
            <a:ln w="47520">
              <a:noFill/>
            </a:ln>
          </c:spPr>
          <c:marker>
            <c:symbol val="circle"/>
            <c:size val="6"/>
            <c:spPr>
              <a:solidFill>
                <a:srgbClr val="b4530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'2-Segments'!$F$130:$F$149</c:f>
              <c:numCache>
                <c:formatCode>General</c:formatCode>
                <c:ptCount val="20"/>
                <c:pt idx="0">
                  <c:v>0.031</c:v>
                </c:pt>
                <c:pt idx="1">
                  <c:v>0.177</c:v>
                </c:pt>
                <c:pt idx="2">
                  <c:v>2.107</c:v>
                </c:pt>
                <c:pt idx="3">
                  <c:v>0.479</c:v>
                </c:pt>
                <c:pt idx="4">
                  <c:v>-0.494</c:v>
                </c:pt>
                <c:pt idx="5">
                  <c:v>-0.339</c:v>
                </c:pt>
                <c:pt idx="6">
                  <c:v>1.342</c:v>
                </c:pt>
                <c:pt idx="7">
                  <c:v>1.117</c:v>
                </c:pt>
                <c:pt idx="8">
                  <c:v>1.107</c:v>
                </c:pt>
                <c:pt idx="9">
                  <c:v>0.506</c:v>
                </c:pt>
                <c:pt idx="10">
                  <c:v>-0.324</c:v>
                </c:pt>
                <c:pt idx="11">
                  <c:v>2.068</c:v>
                </c:pt>
                <c:pt idx="12">
                  <c:v>1.349</c:v>
                </c:pt>
                <c:pt idx="13">
                  <c:v>0.655</c:v>
                </c:pt>
                <c:pt idx="14">
                  <c:v>1.261</c:v>
                </c:pt>
                <c:pt idx="15">
                  <c:v>0.86</c:v>
                </c:pt>
                <c:pt idx="16">
                  <c:v>2.439</c:v>
                </c:pt>
                <c:pt idx="17">
                  <c:v>-0.512</c:v>
                </c:pt>
                <c:pt idx="18">
                  <c:v>-0.322</c:v>
                </c:pt>
                <c:pt idx="19">
                  <c:v>1.027</c:v>
                </c:pt>
              </c:numCache>
            </c:numRef>
          </c:xVal>
          <c:yVal>
            <c:numRef>
              <c:f>'2-Segments'!$G$130:$G$149</c:f>
              <c:numCache>
                <c:formatCode>General</c:formatCode>
                <c:ptCount val="20"/>
                <c:pt idx="0">
                  <c:v>0.529</c:v>
                </c:pt>
                <c:pt idx="1">
                  <c:v>-2.707</c:v>
                </c:pt>
                <c:pt idx="2">
                  <c:v>-1.759</c:v>
                </c:pt>
                <c:pt idx="3">
                  <c:v>-2.245</c:v>
                </c:pt>
                <c:pt idx="4">
                  <c:v>-2.08</c:v>
                </c:pt>
                <c:pt idx="5">
                  <c:v>-2.286</c:v>
                </c:pt>
                <c:pt idx="6">
                  <c:v>-2.389</c:v>
                </c:pt>
                <c:pt idx="7">
                  <c:v>-2.575</c:v>
                </c:pt>
                <c:pt idx="8">
                  <c:v>-1.342</c:v>
                </c:pt>
                <c:pt idx="9">
                  <c:v>-1.65</c:v>
                </c:pt>
                <c:pt idx="10">
                  <c:v>-0.967</c:v>
                </c:pt>
                <c:pt idx="11">
                  <c:v>-2.6</c:v>
                </c:pt>
                <c:pt idx="12">
                  <c:v>-1.235</c:v>
                </c:pt>
                <c:pt idx="13">
                  <c:v>-0.755</c:v>
                </c:pt>
                <c:pt idx="14">
                  <c:v>-2.083</c:v>
                </c:pt>
                <c:pt idx="15">
                  <c:v>-1.467</c:v>
                </c:pt>
                <c:pt idx="16">
                  <c:v>-1.167</c:v>
                </c:pt>
                <c:pt idx="17">
                  <c:v>-0.254</c:v>
                </c:pt>
                <c:pt idx="18">
                  <c:v>-0.325</c:v>
                </c:pt>
                <c:pt idx="19">
                  <c:v>-1.48</c:v>
                </c:pt>
              </c:numCache>
            </c:numRef>
          </c:yVal>
          <c:smooth val="1"/>
        </c:ser>
        <c:ser>
          <c:idx val="3"/>
          <c:order val="3"/>
          <c:tx>
            <c:strRef>
              <c:f>"S4 Power Instructors"</c:f>
              <c:strCache>
                <c:ptCount val="1"/>
                <c:pt idx="0">
                  <c:v>S4 Power Instructors</c:v>
                </c:pt>
              </c:strCache>
            </c:strRef>
          </c:tx>
          <c:spPr>
            <a:solidFill>
              <a:srgbClr val="7c3aed"/>
            </a:solidFill>
            <a:ln w="47520">
              <a:noFill/>
            </a:ln>
          </c:spPr>
          <c:marker>
            <c:symbol val="circle"/>
            <c:size val="6"/>
            <c:spPr>
              <a:solidFill>
                <a:srgbClr val="7c3aed"/>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'2-Segments'!$H$130:$H$146</c:f>
              <c:numCache>
                <c:formatCode>General</c:formatCode>
                <c:ptCount val="17"/>
                <c:pt idx="0">
                  <c:v>-1.762</c:v>
                </c:pt>
                <c:pt idx="1">
                  <c:v>-0.603</c:v>
                </c:pt>
                <c:pt idx="2">
                  <c:v>-1.096</c:v>
                </c:pt>
                <c:pt idx="3">
                  <c:v>-1.471</c:v>
                </c:pt>
                <c:pt idx="4">
                  <c:v>0.503</c:v>
                </c:pt>
                <c:pt idx="5">
                  <c:v>-2.213</c:v>
                </c:pt>
                <c:pt idx="6">
                  <c:v>-1.292</c:v>
                </c:pt>
                <c:pt idx="7">
                  <c:v>-0.282</c:v>
                </c:pt>
                <c:pt idx="8">
                  <c:v>-0.791</c:v>
                </c:pt>
                <c:pt idx="9">
                  <c:v>-0.7</c:v>
                </c:pt>
                <c:pt idx="10">
                  <c:v>-0.616</c:v>
                </c:pt>
                <c:pt idx="11">
                  <c:v>-0.813</c:v>
                </c:pt>
                <c:pt idx="12">
                  <c:v>-1.796</c:v>
                </c:pt>
                <c:pt idx="13">
                  <c:v>-0.452</c:v>
                </c:pt>
                <c:pt idx="14">
                  <c:v>-1.57</c:v>
                </c:pt>
                <c:pt idx="15">
                  <c:v>-0.798</c:v>
                </c:pt>
                <c:pt idx="16">
                  <c:v>-1.74</c:v>
                </c:pt>
              </c:numCache>
            </c:numRef>
          </c:xVal>
          <c:yVal>
            <c:numRef>
              <c:f>'2-Segments'!$I$130:$I$146</c:f>
              <c:numCache>
                <c:formatCode>General</c:formatCode>
                <c:ptCount val="17"/>
                <c:pt idx="0">
                  <c:v>1.714</c:v>
                </c:pt>
                <c:pt idx="1">
                  <c:v>2.912</c:v>
                </c:pt>
                <c:pt idx="2">
                  <c:v>1.546</c:v>
                </c:pt>
                <c:pt idx="3">
                  <c:v>1.555</c:v>
                </c:pt>
                <c:pt idx="4">
                  <c:v>0.981</c:v>
                </c:pt>
                <c:pt idx="5">
                  <c:v>1.424</c:v>
                </c:pt>
                <c:pt idx="6">
                  <c:v>2.957</c:v>
                </c:pt>
                <c:pt idx="7">
                  <c:v>1.574</c:v>
                </c:pt>
                <c:pt idx="8">
                  <c:v>1.223</c:v>
                </c:pt>
                <c:pt idx="9">
                  <c:v>2.569</c:v>
                </c:pt>
                <c:pt idx="10">
                  <c:v>2.101</c:v>
                </c:pt>
                <c:pt idx="11">
                  <c:v>1.191</c:v>
                </c:pt>
                <c:pt idx="12">
                  <c:v>2.394</c:v>
                </c:pt>
                <c:pt idx="13">
                  <c:v>1.669</c:v>
                </c:pt>
                <c:pt idx="14">
                  <c:v>0.659</c:v>
                </c:pt>
                <c:pt idx="15">
                  <c:v>1.698</c:v>
                </c:pt>
                <c:pt idx="16">
                  <c:v>1.857</c:v>
                </c:pt>
              </c:numCache>
            </c:numRef>
          </c:yVal>
          <c:smooth val="1"/>
        </c:ser>
        <c:ser>
          <c:idx val="4"/>
          <c:order val="4"/>
          <c:tx>
            <c:strRef>
              <c:f>"S5 Reluctant Instructors"</c:f>
              <c:strCache>
                <c:ptCount val="1"/>
                <c:pt idx="0">
                  <c:v>S5 Reluctant Instructors</c:v>
                </c:pt>
              </c:strCache>
            </c:strRef>
          </c:tx>
          <c:spPr>
            <a:solidFill>
              <a:srgbClr val="dc2626"/>
            </a:solidFill>
            <a:ln w="47520">
              <a:noFill/>
            </a:ln>
          </c:spPr>
          <c:marker>
            <c:symbol val="circle"/>
            <c:size val="6"/>
            <c:spPr>
              <a:solidFill>
                <a:srgbClr val="dc262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'2-Segments'!$J$130:$J$144</c:f>
              <c:numCache>
                <c:formatCode>General</c:formatCode>
                <c:ptCount val="15"/>
                <c:pt idx="0">
                  <c:v>3.71</c:v>
                </c:pt>
                <c:pt idx="1">
                  <c:v>3.895</c:v>
                </c:pt>
                <c:pt idx="2">
                  <c:v>1.753</c:v>
                </c:pt>
                <c:pt idx="3">
                  <c:v>1.775</c:v>
                </c:pt>
                <c:pt idx="4">
                  <c:v>0.787</c:v>
                </c:pt>
                <c:pt idx="5">
                  <c:v>1.795</c:v>
                </c:pt>
                <c:pt idx="6">
                  <c:v>2.585</c:v>
                </c:pt>
                <c:pt idx="7">
                  <c:v>3.553</c:v>
                </c:pt>
                <c:pt idx="8">
                  <c:v>2.466</c:v>
                </c:pt>
                <c:pt idx="9">
                  <c:v>2.557</c:v>
                </c:pt>
                <c:pt idx="10">
                  <c:v>1.623</c:v>
                </c:pt>
                <c:pt idx="11">
                  <c:v>2.334</c:v>
                </c:pt>
                <c:pt idx="12">
                  <c:v>3.669</c:v>
                </c:pt>
                <c:pt idx="13">
                  <c:v>1.98</c:v>
                </c:pt>
                <c:pt idx="14">
                  <c:v>2.32</c:v>
                </c:pt>
              </c:numCache>
            </c:numRef>
          </c:xVal>
          <c:yVal>
            <c:numRef>
              <c:f>'2-Segments'!$K$130:$K$144</c:f>
              <c:numCache>
                <c:formatCode>General</c:formatCode>
                <c:ptCount val="15"/>
                <c:pt idx="0">
                  <c:v>-2.842</c:v>
                </c:pt>
                <c:pt idx="1">
                  <c:v>-2.756</c:v>
                </c:pt>
                <c:pt idx="2">
                  <c:v>-1.743</c:v>
                </c:pt>
                <c:pt idx="3">
                  <c:v>-1.471</c:v>
                </c:pt>
                <c:pt idx="4">
                  <c:v>-1.881</c:v>
                </c:pt>
                <c:pt idx="5">
                  <c:v>-2.381</c:v>
                </c:pt>
                <c:pt idx="6">
                  <c:v>-2.523</c:v>
                </c:pt>
                <c:pt idx="7">
                  <c:v>-2.172</c:v>
                </c:pt>
                <c:pt idx="8">
                  <c:v>-0.466</c:v>
                </c:pt>
                <c:pt idx="9">
                  <c:v>-3.302</c:v>
                </c:pt>
                <c:pt idx="10">
                  <c:v>-2.327</c:v>
                </c:pt>
                <c:pt idx="11">
                  <c:v>-2.059</c:v>
                </c:pt>
                <c:pt idx="12">
                  <c:v>-3.088</c:v>
                </c:pt>
                <c:pt idx="13">
                  <c:v>-1.648</c:v>
                </c:pt>
                <c:pt idx="14">
                  <c:v>-2.685</c:v>
                </c:pt>
              </c:numCache>
            </c:numRef>
          </c:yVal>
          <c:smooth val="1"/>
        </c:ser>
        <c:ser>
          <c:idx val="5"/>
          <c:order val="5"/>
          <c:tx>
            <c:strRef>
              <c:f>"S6 Access-First Learners"</c:f>
              <c:strCache>
                <c:ptCount val="1"/>
                <c:pt idx="0">
                  <c:v>S6 Access-First Learners</c:v>
                </c:pt>
              </c:strCache>
            </c:strRef>
          </c:tx>
          <c:spPr>
            <a:solidFill>
              <a:srgbClr val="0891b2"/>
            </a:solidFill>
            <a:ln w="47520">
              <a:noFill/>
            </a:ln>
          </c:spPr>
          <c:marker>
            <c:symbol val="circle"/>
            <c:size val="6"/>
            <c:spPr>
              <a:solidFill>
                <a:srgbClr val="0891b2"/>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'2-Segments'!$L$130:$L$138</c:f>
              <c:numCache>
                <c:formatCode>General</c:formatCode>
                <c:ptCount val="9"/>
                <c:pt idx="0">
                  <c:v>2.59</c:v>
                </c:pt>
                <c:pt idx="1">
                  <c:v>3.132</c:v>
                </c:pt>
                <c:pt idx="2">
                  <c:v>4.201</c:v>
                </c:pt>
                <c:pt idx="3">
                  <c:v>2.696</c:v>
                </c:pt>
                <c:pt idx="4">
                  <c:v>3.133</c:v>
                </c:pt>
                <c:pt idx="5">
                  <c:v>3.979</c:v>
                </c:pt>
                <c:pt idx="6">
                  <c:v>3.047</c:v>
                </c:pt>
                <c:pt idx="7">
                  <c:v>3.312</c:v>
                </c:pt>
                <c:pt idx="8">
                  <c:v>2.705</c:v>
                </c:pt>
              </c:numCache>
            </c:numRef>
          </c:xVal>
          <c:yVal>
            <c:numRef>
              <c:f>'2-Segments'!$M$130:$M$138</c:f>
              <c:numCache>
                <c:formatCode>General</c:formatCode>
                <c:ptCount val="9"/>
                <c:pt idx="0">
                  <c:v>0.625</c:v>
                </c:pt>
                <c:pt idx="1">
                  <c:v>0.811</c:v>
                </c:pt>
                <c:pt idx="2">
                  <c:v>0.395</c:v>
                </c:pt>
                <c:pt idx="3">
                  <c:v>0.378</c:v>
                </c:pt>
                <c:pt idx="4">
                  <c:v>-0.27</c:v>
                </c:pt>
                <c:pt idx="5">
                  <c:v>0.971</c:v>
                </c:pt>
                <c:pt idx="6">
                  <c:v>0.068</c:v>
                </c:pt>
                <c:pt idx="7">
                  <c:v>0.992</c:v>
                </c:pt>
                <c:pt idx="8">
                  <c:v>0.767</c:v>
                </c:pt>
              </c:numCache>
            </c:numRef>
          </c:yVal>
          <c:smooth val="1"/>
        </c:ser>
        <c:axId val="63326821"/>
        <c:axId val="5769233"/>
      </c:scatterChart>
      <c:valAx>
        <c:axId val="63326821"/>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PC1</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9233"/>
        <c:crosses val="autoZero"/>
        <c:crossBetween val="midCat"/>
      </c:valAx>
      <c:valAx>
        <c:axId val="57692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PC2</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32682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160560</xdr:rowOff>
    </xdr:from>
    <xdr:to>
      <xdr:col>17</xdr:col>
      <xdr:colOff>10440</xdr:colOff>
      <xdr:row>18</xdr:row>
      <xdr:rowOff>79200</xdr:rowOff>
    </xdr:to>
    <xdr:graphicFrame>
      <xdr:nvGraphicFramePr>
        <xdr:cNvPr id="0" name="Chart 1"/>
        <xdr:cNvGraphicFramePr/>
      </xdr:nvGraphicFramePr>
      <xdr:xfrm>
        <a:off x="8810640" y="95256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20</xdr:row>
      <xdr:rowOff>160560</xdr:rowOff>
    </xdr:from>
    <xdr:to>
      <xdr:col>17</xdr:col>
      <xdr:colOff>10440</xdr:colOff>
      <xdr:row>37</xdr:row>
      <xdr:rowOff>47520</xdr:rowOff>
    </xdr:to>
    <xdr:graphicFrame>
      <xdr:nvGraphicFramePr>
        <xdr:cNvPr id="1" name="Chart 2"/>
        <xdr:cNvGraphicFramePr/>
      </xdr:nvGraphicFramePr>
      <xdr:xfrm>
        <a:off x="8810640" y="4114800"/>
        <a:ext cx="50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39</xdr:row>
      <xdr:rowOff>160920</xdr:rowOff>
    </xdr:from>
    <xdr:to>
      <xdr:col>17</xdr:col>
      <xdr:colOff>10440</xdr:colOff>
      <xdr:row>54</xdr:row>
      <xdr:rowOff>68760</xdr:rowOff>
    </xdr:to>
    <xdr:graphicFrame>
      <xdr:nvGraphicFramePr>
        <xdr:cNvPr id="2" name="Chart 3"/>
        <xdr:cNvGraphicFramePr/>
      </xdr:nvGraphicFramePr>
      <xdr:xfrm>
        <a:off x="8810640" y="7848720"/>
        <a:ext cx="503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58</xdr:row>
      <xdr:rowOff>160560</xdr:rowOff>
    </xdr:from>
    <xdr:to>
      <xdr:col>17</xdr:col>
      <xdr:colOff>10440</xdr:colOff>
      <xdr:row>73</xdr:row>
      <xdr:rowOff>13320</xdr:rowOff>
    </xdr:to>
    <xdr:graphicFrame>
      <xdr:nvGraphicFramePr>
        <xdr:cNvPr id="3" name="Chart 4"/>
        <xdr:cNvGraphicFramePr/>
      </xdr:nvGraphicFramePr>
      <xdr:xfrm>
        <a:off x="8810640" y="11639520"/>
        <a:ext cx="503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160920</xdr:rowOff>
    </xdr:from>
    <xdr:to>
      <xdr:col>14</xdr:col>
      <xdr:colOff>90720</xdr:colOff>
      <xdr:row>12</xdr:row>
      <xdr:rowOff>358200</xdr:rowOff>
    </xdr:to>
    <xdr:graphicFrame>
      <xdr:nvGraphicFramePr>
        <xdr:cNvPr id="4" name="Chart 1"/>
        <xdr:cNvGraphicFramePr/>
      </xdr:nvGraphicFramePr>
      <xdr:xfrm>
        <a:off x="15154200" y="885960"/>
        <a:ext cx="32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15</xdr:row>
      <xdr:rowOff>160560</xdr:rowOff>
    </xdr:from>
    <xdr:to>
      <xdr:col>14</xdr:col>
      <xdr:colOff>90720</xdr:colOff>
      <xdr:row>21</xdr:row>
      <xdr:rowOff>224640</xdr:rowOff>
    </xdr:to>
    <xdr:graphicFrame>
      <xdr:nvGraphicFramePr>
        <xdr:cNvPr id="5" name="Chart 2"/>
        <xdr:cNvGraphicFramePr/>
      </xdr:nvGraphicFramePr>
      <xdr:xfrm>
        <a:off x="15154200" y="3790800"/>
        <a:ext cx="3239640" cy="21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124</xdr:row>
      <xdr:rowOff>799560</xdr:rowOff>
    </xdr:from>
    <xdr:to>
      <xdr:col>19</xdr:col>
      <xdr:colOff>273240</xdr:colOff>
      <xdr:row>136</xdr:row>
      <xdr:rowOff>97560</xdr:rowOff>
    </xdr:to>
    <xdr:graphicFrame>
      <xdr:nvGraphicFramePr>
        <xdr:cNvPr id="6" name="Chart 3"/>
        <xdr:cNvGraphicFramePr/>
      </xdr:nvGraphicFramePr>
      <xdr:xfrm>
        <a:off x="15154200" y="36347400"/>
        <a:ext cx="6479640" cy="43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62"/>
    <col collapsed="false" customWidth="true" hidden="false" outlineLevel="0" max="4" min="4" style="0" width="40"/>
  </cols>
  <sheetData>
    <row r="2" customFormat="false" ht="19.7" hidden="false" customHeight="false" outlineLevel="0" collapsed="false">
      <c r="B2" s="1" t="s">
        <v>0</v>
      </c>
    </row>
    <row r="3" customFormat="false" ht="53.7" hidden="false" customHeight="false" outlineLevel="0" collapsed="false">
      <c r="B3" s="2" t="s">
        <v>1</v>
      </c>
    </row>
    <row r="5" customFormat="false" ht="19.5" hidden="false" customHeight="true" outlineLevel="0" collapsed="false">
      <c r="A5" s="3" t="s">
        <v>2</v>
      </c>
      <c r="B5" s="4"/>
      <c r="C5" s="4"/>
      <c r="D5" s="4"/>
    </row>
    <row r="6" customFormat="false" ht="75" hidden="false" customHeight="true" outlineLevel="0" collapsed="false">
      <c r="B6" s="5" t="s">
        <v>3</v>
      </c>
      <c r="C6" s="5"/>
      <c r="D6" s="5"/>
    </row>
    <row r="8" customFormat="false" ht="19.5" hidden="false" customHeight="true" outlineLevel="0" collapsed="false">
      <c r="A8" s="3" t="s">
        <v>4</v>
      </c>
      <c r="B8" s="4"/>
      <c r="C8" s="4"/>
      <c r="D8" s="4"/>
    </row>
    <row r="9" customFormat="false" ht="15" hidden="false" customHeight="false" outlineLevel="0" collapsed="false">
      <c r="B9" s="6" t="s">
        <v>5</v>
      </c>
      <c r="C9" s="6" t="s">
        <v>6</v>
      </c>
      <c r="D9" s="6" t="s">
        <v>7</v>
      </c>
    </row>
    <row r="10" customFormat="false" ht="45" hidden="false" customHeight="true" outlineLevel="0" collapsed="false">
      <c r="B10" s="7" t="s">
        <v>8</v>
      </c>
      <c r="C10" s="8" t="s">
        <v>9</v>
      </c>
      <c r="D10" s="8" t="s">
        <v>10</v>
      </c>
    </row>
    <row r="11" customFormat="false" ht="45" hidden="false" customHeight="true" outlineLevel="0" collapsed="false">
      <c r="B11" s="7" t="s">
        <v>11</v>
      </c>
      <c r="C11" s="8" t="s">
        <v>12</v>
      </c>
      <c r="D11" s="8" t="s">
        <v>13</v>
      </c>
    </row>
    <row r="12" customFormat="false" ht="45" hidden="false" customHeight="true" outlineLevel="0" collapsed="false">
      <c r="B12" s="7" t="s">
        <v>14</v>
      </c>
      <c r="C12" s="8" t="s">
        <v>15</v>
      </c>
      <c r="D12" s="8" t="s">
        <v>16</v>
      </c>
    </row>
    <row r="13" customFormat="false" ht="45" hidden="false" customHeight="true" outlineLevel="0" collapsed="false">
      <c r="B13" s="7" t="s">
        <v>17</v>
      </c>
      <c r="C13" s="8" t="s">
        <v>18</v>
      </c>
      <c r="D13" s="8" t="s">
        <v>19</v>
      </c>
    </row>
    <row r="14" customFormat="false" ht="45" hidden="false" customHeight="true" outlineLevel="0" collapsed="false">
      <c r="B14" s="7" t="s">
        <v>20</v>
      </c>
      <c r="C14" s="8" t="s">
        <v>21</v>
      </c>
      <c r="D14" s="8" t="s">
        <v>22</v>
      </c>
    </row>
    <row r="16" customFormat="false" ht="19.5" hidden="false" customHeight="true" outlineLevel="0" collapsed="false">
      <c r="A16" s="3" t="s">
        <v>23</v>
      </c>
      <c r="B16" s="4"/>
      <c r="C16" s="4"/>
      <c r="D16" s="4"/>
    </row>
    <row r="17" customFormat="false" ht="61.5" hidden="false" customHeight="true" outlineLevel="0" collapsed="false">
      <c r="B17" s="7" t="s">
        <v>24</v>
      </c>
      <c r="C17" s="8" t="s">
        <v>25</v>
      </c>
      <c r="D17" s="8"/>
    </row>
    <row r="18" customFormat="false" ht="61.5" hidden="false" customHeight="true" outlineLevel="0" collapsed="false">
      <c r="B18" s="7" t="s">
        <v>26</v>
      </c>
      <c r="C18" s="8" t="s">
        <v>27</v>
      </c>
      <c r="D18" s="8"/>
    </row>
    <row r="19" customFormat="false" ht="61.5" hidden="false" customHeight="true" outlineLevel="0" collapsed="false">
      <c r="B19" s="7" t="s">
        <v>28</v>
      </c>
      <c r="C19" s="8" t="s">
        <v>29</v>
      </c>
      <c r="D19" s="8"/>
    </row>
    <row r="20" customFormat="false" ht="61.5" hidden="false" customHeight="true" outlineLevel="0" collapsed="false">
      <c r="B20" s="7" t="s">
        <v>30</v>
      </c>
      <c r="C20" s="8" t="s">
        <v>31</v>
      </c>
      <c r="D20" s="8"/>
    </row>
    <row r="21" customFormat="false" ht="61.5" hidden="false" customHeight="true" outlineLevel="0" collapsed="false">
      <c r="B21" s="7" t="s">
        <v>32</v>
      </c>
      <c r="C21" s="8" t="s">
        <v>33</v>
      </c>
      <c r="D21" s="8"/>
    </row>
    <row r="22" customFormat="false" ht="61.5" hidden="false" customHeight="true" outlineLevel="0" collapsed="false">
      <c r="B22" s="7" t="s">
        <v>34</v>
      </c>
      <c r="C22" s="8" t="s">
        <v>35</v>
      </c>
      <c r="D22" s="8"/>
    </row>
    <row r="24" customFormat="false" ht="19.5" hidden="false" customHeight="true" outlineLevel="0" collapsed="false">
      <c r="A24" s="3" t="s">
        <v>36</v>
      </c>
      <c r="B24" s="4"/>
      <c r="C24" s="4"/>
      <c r="D24" s="4"/>
    </row>
    <row r="25" customFormat="false" ht="15" hidden="false" customHeight="false" outlineLevel="0" collapsed="false">
      <c r="B25" s="6" t="s">
        <v>37</v>
      </c>
      <c r="C25" s="6" t="s">
        <v>38</v>
      </c>
      <c r="D25" s="6" t="s">
        <v>39</v>
      </c>
    </row>
    <row r="26" customFormat="false" ht="42" hidden="false" customHeight="true" outlineLevel="0" collapsed="false">
      <c r="B26" s="7" t="s">
        <v>40</v>
      </c>
      <c r="C26" s="8" t="s">
        <v>41</v>
      </c>
      <c r="D26" s="8" t="s">
        <v>26</v>
      </c>
    </row>
    <row r="27" customFormat="false" ht="42" hidden="false" customHeight="true" outlineLevel="0" collapsed="false">
      <c r="B27" s="7" t="s">
        <v>42</v>
      </c>
      <c r="C27" s="8" t="s">
        <v>43</v>
      </c>
      <c r="D27" s="8" t="s">
        <v>44</v>
      </c>
    </row>
    <row r="28" customFormat="false" ht="42" hidden="false" customHeight="true" outlineLevel="0" collapsed="false">
      <c r="B28" s="7" t="s">
        <v>45</v>
      </c>
      <c r="C28" s="8" t="s">
        <v>46</v>
      </c>
      <c r="D28" s="8" t="s">
        <v>47</v>
      </c>
    </row>
    <row r="29" customFormat="false" ht="42" hidden="false" customHeight="true" outlineLevel="0" collapsed="false">
      <c r="B29" s="7" t="s">
        <v>48</v>
      </c>
      <c r="C29" s="8" t="s">
        <v>49</v>
      </c>
      <c r="D29" s="8" t="s">
        <v>50</v>
      </c>
    </row>
    <row r="30" customFormat="false" ht="42" hidden="false" customHeight="true" outlineLevel="0" collapsed="false">
      <c r="B30" s="7" t="s">
        <v>51</v>
      </c>
      <c r="C30" s="8" t="s">
        <v>52</v>
      </c>
      <c r="D30" s="8" t="s">
        <v>53</v>
      </c>
    </row>
    <row r="31" customFormat="false" ht="42" hidden="false" customHeight="true" outlineLevel="0" collapsed="false">
      <c r="B31" s="7" t="s">
        <v>54</v>
      </c>
      <c r="C31" s="8" t="s">
        <v>55</v>
      </c>
      <c r="D31" s="8" t="s">
        <v>56</v>
      </c>
    </row>
    <row r="33" customFormat="false" ht="19.5" hidden="false" customHeight="true" outlineLevel="0" collapsed="false">
      <c r="A33" s="3" t="s">
        <v>57</v>
      </c>
      <c r="B33" s="4"/>
      <c r="C33" s="4"/>
      <c r="D33" s="4"/>
    </row>
    <row r="34" customFormat="false" ht="33.75" hidden="false" customHeight="true" outlineLevel="0" collapsed="false">
      <c r="B34" s="7" t="s">
        <v>58</v>
      </c>
      <c r="C34" s="8" t="s">
        <v>59</v>
      </c>
      <c r="D34" s="8"/>
    </row>
    <row r="35" customFormat="false" ht="33.75" hidden="false" customHeight="true" outlineLevel="0" collapsed="false">
      <c r="B35" s="7" t="s">
        <v>60</v>
      </c>
      <c r="C35" s="8" t="s">
        <v>61</v>
      </c>
      <c r="D35" s="8"/>
    </row>
    <row r="36" customFormat="false" ht="33.75" hidden="false" customHeight="true" outlineLevel="0" collapsed="false">
      <c r="B36" s="7" t="s">
        <v>62</v>
      </c>
      <c r="C36" s="8" t="s">
        <v>63</v>
      </c>
      <c r="D36" s="8"/>
    </row>
    <row r="37" customFormat="false" ht="33.75" hidden="false" customHeight="true" outlineLevel="0" collapsed="false">
      <c r="B37" s="7" t="s">
        <v>64</v>
      </c>
      <c r="C37" s="8" t="s">
        <v>65</v>
      </c>
      <c r="D37" s="8"/>
    </row>
    <row r="38" customFormat="false" ht="33.75" hidden="false" customHeight="true" outlineLevel="0" collapsed="false">
      <c r="B38" s="7" t="s">
        <v>66</v>
      </c>
      <c r="C38" s="8" t="s">
        <v>67</v>
      </c>
      <c r="D38" s="8"/>
    </row>
    <row r="39" customFormat="false" ht="33.75" hidden="false" customHeight="true" outlineLevel="0" collapsed="false">
      <c r="B39" s="7" t="s">
        <v>68</v>
      </c>
      <c r="C39" s="8" t="s">
        <v>69</v>
      </c>
      <c r="D39" s="8"/>
    </row>
    <row r="41" customFormat="false" ht="19.5" hidden="false" customHeight="true" outlineLevel="0" collapsed="false">
      <c r="A41" s="3" t="s">
        <v>70</v>
      </c>
      <c r="B41" s="4"/>
      <c r="C41" s="4"/>
      <c r="D41" s="4"/>
    </row>
    <row r="42" customFormat="false" ht="78" hidden="false" customHeight="true" outlineLevel="0" collapsed="false">
      <c r="B42" s="9" t="s">
        <v>71</v>
      </c>
      <c r="C42" s="9"/>
      <c r="D42" s="9"/>
    </row>
    <row r="44" customFormat="false" ht="64.15" hidden="false" customHeight="false" outlineLevel="0" collapsed="false">
      <c r="B44" s="2" t="s">
        <v>72</v>
      </c>
    </row>
  </sheetData>
  <mergeCells count="14">
    <mergeCell ref="B6:D6"/>
    <mergeCell ref="C17:D17"/>
    <mergeCell ref="C18:D18"/>
    <mergeCell ref="C19:D19"/>
    <mergeCell ref="C20:D20"/>
    <mergeCell ref="C21:D21"/>
    <mergeCell ref="C22:D22"/>
    <mergeCell ref="C34:D34"/>
    <mergeCell ref="C35:D35"/>
    <mergeCell ref="C36:D36"/>
    <mergeCell ref="C37:D37"/>
    <mergeCell ref="C38:D38"/>
    <mergeCell ref="C39:D39"/>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52"/>
    <col collapsed="false" customWidth="true" hidden="false" outlineLevel="0" max="4" min="4" style="0" width="12"/>
    <col collapsed="false" customWidth="true" hidden="false" outlineLevel="0" max="5" min="5" style="0" width="46"/>
    <col collapsed="false" customWidth="true" hidden="false" outlineLevel="0" max="6" min="6" style="0" width="26"/>
    <col collapsed="false" customWidth="true" hidden="false" outlineLevel="0" max="7" min="7" style="0" width="30"/>
    <col collapsed="false" customWidth="true" hidden="false" outlineLevel="0" max="8" min="8" style="0" width="46"/>
  </cols>
  <sheetData>
    <row r="1" customFormat="false" ht="17.35" hidden="false" customHeight="false" outlineLevel="0" collapsed="false">
      <c r="A1" s="10" t="s">
        <v>73</v>
      </c>
    </row>
    <row r="2" customFormat="false" ht="48" hidden="false" customHeight="true" outlineLevel="0" collapsed="false">
      <c r="A2" s="11" t="s">
        <v>74</v>
      </c>
      <c r="B2" s="11"/>
      <c r="C2" s="11"/>
      <c r="D2" s="11"/>
      <c r="E2" s="11"/>
      <c r="F2" s="11"/>
      <c r="G2" s="11"/>
      <c r="H2" s="11"/>
    </row>
    <row r="4" customFormat="false" ht="15" hidden="false" customHeight="false" outlineLevel="0" collapsed="false">
      <c r="A4" s="6" t="s">
        <v>75</v>
      </c>
      <c r="B4" s="6" t="s">
        <v>76</v>
      </c>
      <c r="C4" s="6" t="s">
        <v>77</v>
      </c>
      <c r="D4" s="6" t="s">
        <v>78</v>
      </c>
      <c r="E4" s="6" t="s">
        <v>79</v>
      </c>
      <c r="F4" s="6" t="s">
        <v>80</v>
      </c>
      <c r="G4" s="6" t="s">
        <v>81</v>
      </c>
      <c r="H4" s="6" t="s">
        <v>82</v>
      </c>
    </row>
    <row r="5" customFormat="false" ht="78" hidden="false" customHeight="true" outlineLevel="0" collapsed="false">
      <c r="A5" s="7" t="s">
        <v>83</v>
      </c>
      <c r="B5" s="8" t="s">
        <v>84</v>
      </c>
      <c r="C5" s="8" t="s">
        <v>85</v>
      </c>
      <c r="D5" s="8" t="s">
        <v>58</v>
      </c>
      <c r="E5" s="8" t="s">
        <v>86</v>
      </c>
      <c r="F5" s="8" t="s">
        <v>87</v>
      </c>
      <c r="G5" s="8" t="s">
        <v>88</v>
      </c>
      <c r="H5" s="8" t="s">
        <v>89</v>
      </c>
    </row>
    <row r="6" customFormat="false" ht="90.75" hidden="false" customHeight="true" outlineLevel="0" collapsed="false">
      <c r="A6" s="7" t="s">
        <v>90</v>
      </c>
      <c r="B6" s="8" t="s">
        <v>84</v>
      </c>
      <c r="C6" s="8" t="s">
        <v>91</v>
      </c>
      <c r="D6" s="8" t="s">
        <v>58</v>
      </c>
      <c r="E6" s="8" t="s">
        <v>92</v>
      </c>
      <c r="F6" s="8" t="s">
        <v>87</v>
      </c>
      <c r="G6" s="8" t="s">
        <v>93</v>
      </c>
      <c r="H6" s="8" t="s">
        <v>94</v>
      </c>
    </row>
    <row r="7" customFormat="false" ht="51.75" hidden="false" customHeight="true" outlineLevel="0" collapsed="false">
      <c r="A7" s="7" t="s">
        <v>95</v>
      </c>
      <c r="B7" s="8" t="s">
        <v>84</v>
      </c>
      <c r="C7" s="8" t="s">
        <v>96</v>
      </c>
      <c r="D7" s="8" t="s">
        <v>58</v>
      </c>
      <c r="E7" s="8" t="s">
        <v>97</v>
      </c>
      <c r="F7" s="8" t="s">
        <v>87</v>
      </c>
      <c r="G7" s="8" t="s">
        <v>98</v>
      </c>
      <c r="H7" s="8" t="s">
        <v>99</v>
      </c>
    </row>
    <row r="8" customFormat="false" ht="78" hidden="false" customHeight="true" outlineLevel="0" collapsed="false">
      <c r="A8" s="7" t="s">
        <v>100</v>
      </c>
      <c r="B8" s="8" t="s">
        <v>84</v>
      </c>
      <c r="C8" s="8" t="s">
        <v>101</v>
      </c>
      <c r="D8" s="8" t="s">
        <v>58</v>
      </c>
      <c r="E8" s="8" t="s">
        <v>102</v>
      </c>
      <c r="F8" s="8" t="s">
        <v>87</v>
      </c>
      <c r="G8" s="8" t="s">
        <v>103</v>
      </c>
      <c r="H8" s="8" t="s">
        <v>104</v>
      </c>
    </row>
    <row r="9" customFormat="false" ht="51.75" hidden="false" customHeight="true" outlineLevel="0" collapsed="false">
      <c r="A9" s="7" t="s">
        <v>105</v>
      </c>
      <c r="B9" s="8" t="s">
        <v>84</v>
      </c>
      <c r="C9" s="8" t="s">
        <v>106</v>
      </c>
      <c r="D9" s="8" t="s">
        <v>58</v>
      </c>
      <c r="E9" s="8" t="s">
        <v>107</v>
      </c>
      <c r="F9" s="8" t="s">
        <v>87</v>
      </c>
      <c r="G9" s="8" t="s">
        <v>108</v>
      </c>
      <c r="H9" s="8" t="s">
        <v>109</v>
      </c>
    </row>
    <row r="10" customFormat="false" ht="78" hidden="false" customHeight="true" outlineLevel="0" collapsed="false">
      <c r="A10" s="7" t="s">
        <v>110</v>
      </c>
      <c r="B10" s="8" t="s">
        <v>84</v>
      </c>
      <c r="C10" s="8" t="s">
        <v>111</v>
      </c>
      <c r="D10" s="8" t="s">
        <v>58</v>
      </c>
      <c r="E10" s="8" t="s">
        <v>112</v>
      </c>
      <c r="F10" s="8" t="s">
        <v>113</v>
      </c>
      <c r="G10" s="8" t="s">
        <v>114</v>
      </c>
      <c r="H10" s="8" t="s">
        <v>115</v>
      </c>
    </row>
    <row r="11" customFormat="false" ht="64.5" hidden="false" customHeight="true" outlineLevel="0" collapsed="false">
      <c r="A11" s="7" t="s">
        <v>116</v>
      </c>
      <c r="B11" s="8" t="s">
        <v>84</v>
      </c>
      <c r="C11" s="8" t="s">
        <v>117</v>
      </c>
      <c r="D11" s="8" t="s">
        <v>58</v>
      </c>
      <c r="E11" s="8" t="s">
        <v>118</v>
      </c>
      <c r="F11" s="8" t="s">
        <v>119</v>
      </c>
      <c r="G11" s="8" t="s">
        <v>120</v>
      </c>
      <c r="H11" s="8" t="s">
        <v>121</v>
      </c>
    </row>
    <row r="12" customFormat="false" ht="90.75" hidden="false" customHeight="true" outlineLevel="0" collapsed="false">
      <c r="A12" s="7" t="s">
        <v>122</v>
      </c>
      <c r="B12" s="8" t="s">
        <v>84</v>
      </c>
      <c r="C12" s="8" t="s">
        <v>123</v>
      </c>
      <c r="D12" s="8" t="s">
        <v>124</v>
      </c>
      <c r="E12" s="8" t="s">
        <v>125</v>
      </c>
      <c r="F12" s="8" t="s">
        <v>126</v>
      </c>
      <c r="G12" s="8" t="s">
        <v>127</v>
      </c>
      <c r="H12" s="8" t="s">
        <v>128</v>
      </c>
    </row>
    <row r="13" customFormat="false" ht="30" hidden="false" customHeight="true" outlineLevel="0" collapsed="false">
      <c r="A13" s="7" t="s">
        <v>129</v>
      </c>
      <c r="B13" s="8" t="s">
        <v>84</v>
      </c>
      <c r="C13" s="8" t="s">
        <v>130</v>
      </c>
      <c r="D13" s="8" t="s">
        <v>131</v>
      </c>
      <c r="E13" s="8" t="s">
        <v>132</v>
      </c>
      <c r="F13" s="8" t="s">
        <v>133</v>
      </c>
      <c r="G13" s="8" t="s">
        <v>134</v>
      </c>
      <c r="H13" s="8" t="s">
        <v>135</v>
      </c>
    </row>
    <row r="14" customFormat="false" ht="78" hidden="false" customHeight="true" outlineLevel="0" collapsed="false">
      <c r="A14" s="7" t="s">
        <v>136</v>
      </c>
      <c r="B14" s="8" t="s">
        <v>137</v>
      </c>
      <c r="C14" s="8" t="s">
        <v>138</v>
      </c>
      <c r="D14" s="8" t="s">
        <v>58</v>
      </c>
      <c r="E14" s="8" t="s">
        <v>139</v>
      </c>
      <c r="F14" s="8" t="s">
        <v>140</v>
      </c>
      <c r="G14" s="8" t="s">
        <v>141</v>
      </c>
      <c r="H14" s="8" t="s">
        <v>142</v>
      </c>
    </row>
    <row r="15" customFormat="false" ht="64.5" hidden="false" customHeight="true" outlineLevel="0" collapsed="false">
      <c r="A15" s="7" t="s">
        <v>143</v>
      </c>
      <c r="B15" s="8" t="s">
        <v>137</v>
      </c>
      <c r="C15" s="8" t="s">
        <v>144</v>
      </c>
      <c r="D15" s="8" t="s">
        <v>124</v>
      </c>
      <c r="E15" s="8" t="s">
        <v>145</v>
      </c>
      <c r="F15" s="8" t="s">
        <v>126</v>
      </c>
      <c r="G15" s="8" t="s">
        <v>146</v>
      </c>
      <c r="H15" s="8" t="s">
        <v>147</v>
      </c>
    </row>
    <row r="16" customFormat="false" ht="51.75" hidden="false" customHeight="true" outlineLevel="0" collapsed="false">
      <c r="A16" s="7" t="s">
        <v>148</v>
      </c>
      <c r="B16" s="8" t="s">
        <v>137</v>
      </c>
      <c r="C16" s="8" t="s">
        <v>149</v>
      </c>
      <c r="D16" s="8" t="s">
        <v>58</v>
      </c>
      <c r="E16" s="8" t="s">
        <v>150</v>
      </c>
      <c r="F16" s="8" t="s">
        <v>87</v>
      </c>
      <c r="G16" s="8" t="s">
        <v>151</v>
      </c>
      <c r="H16" s="8" t="s">
        <v>152</v>
      </c>
    </row>
    <row r="17" customFormat="false" ht="64.5" hidden="false" customHeight="true" outlineLevel="0" collapsed="false">
      <c r="A17" s="7" t="s">
        <v>153</v>
      </c>
      <c r="B17" s="8" t="s">
        <v>137</v>
      </c>
      <c r="C17" s="8" t="s">
        <v>154</v>
      </c>
      <c r="D17" s="8" t="s">
        <v>58</v>
      </c>
      <c r="E17" s="8" t="s">
        <v>155</v>
      </c>
      <c r="F17" s="8" t="s">
        <v>156</v>
      </c>
      <c r="G17" s="8" t="s">
        <v>157</v>
      </c>
      <c r="H17" s="8" t="s">
        <v>158</v>
      </c>
    </row>
    <row r="18" customFormat="false" ht="156" hidden="false" customHeight="true" outlineLevel="0" collapsed="false">
      <c r="A18" s="7" t="s">
        <v>159</v>
      </c>
      <c r="B18" s="8" t="s">
        <v>137</v>
      </c>
      <c r="C18" s="8" t="s">
        <v>160</v>
      </c>
      <c r="D18" s="8" t="s">
        <v>124</v>
      </c>
      <c r="E18" s="8" t="s">
        <v>161</v>
      </c>
      <c r="F18" s="8" t="s">
        <v>126</v>
      </c>
      <c r="G18" s="8" t="s">
        <v>162</v>
      </c>
      <c r="H18" s="8" t="s">
        <v>163</v>
      </c>
    </row>
    <row r="19" customFormat="false" ht="103.5" hidden="false" customHeight="true" outlineLevel="0" collapsed="false">
      <c r="A19" s="7" t="s">
        <v>164</v>
      </c>
      <c r="B19" s="8" t="s">
        <v>137</v>
      </c>
      <c r="C19" s="8" t="s">
        <v>165</v>
      </c>
      <c r="D19" s="8" t="s">
        <v>124</v>
      </c>
      <c r="E19" s="8" t="s">
        <v>166</v>
      </c>
      <c r="F19" s="8" t="s">
        <v>126</v>
      </c>
      <c r="G19" s="8" t="s">
        <v>167</v>
      </c>
      <c r="H19" s="8" t="s">
        <v>168</v>
      </c>
    </row>
    <row r="20" customFormat="false" ht="64.5" hidden="false" customHeight="true" outlineLevel="0" collapsed="false">
      <c r="A20" s="7" t="s">
        <v>169</v>
      </c>
      <c r="B20" s="8" t="s">
        <v>137</v>
      </c>
      <c r="C20" s="8" t="s">
        <v>170</v>
      </c>
      <c r="D20" s="8" t="s">
        <v>58</v>
      </c>
      <c r="E20" s="8" t="s">
        <v>171</v>
      </c>
      <c r="F20" s="8" t="s">
        <v>87</v>
      </c>
      <c r="G20" s="8" t="s">
        <v>172</v>
      </c>
      <c r="H20" s="8" t="s">
        <v>173</v>
      </c>
    </row>
    <row r="21" customFormat="false" ht="64.5" hidden="false" customHeight="true" outlineLevel="0" collapsed="false">
      <c r="A21" s="7" t="s">
        <v>174</v>
      </c>
      <c r="B21" s="8" t="s">
        <v>137</v>
      </c>
      <c r="C21" s="8" t="s">
        <v>175</v>
      </c>
      <c r="D21" s="8" t="s">
        <v>58</v>
      </c>
      <c r="E21" s="8" t="s">
        <v>176</v>
      </c>
      <c r="F21" s="8" t="s">
        <v>177</v>
      </c>
      <c r="G21" s="8" t="s">
        <v>178</v>
      </c>
      <c r="H21" s="8" t="s">
        <v>179</v>
      </c>
    </row>
    <row r="22" customFormat="false" ht="78" hidden="false" customHeight="true" outlineLevel="0" collapsed="false">
      <c r="A22" s="7" t="s">
        <v>180</v>
      </c>
      <c r="B22" s="8" t="s">
        <v>137</v>
      </c>
      <c r="C22" s="8" t="s">
        <v>181</v>
      </c>
      <c r="D22" s="8" t="s">
        <v>124</v>
      </c>
      <c r="E22" s="8" t="s">
        <v>182</v>
      </c>
      <c r="F22" s="8" t="s">
        <v>126</v>
      </c>
      <c r="G22" s="8" t="s">
        <v>183</v>
      </c>
      <c r="H22" s="8" t="s">
        <v>184</v>
      </c>
    </row>
    <row r="23" customFormat="false" ht="90.75" hidden="false" customHeight="true" outlineLevel="0" collapsed="false">
      <c r="A23" s="7" t="s">
        <v>185</v>
      </c>
      <c r="B23" s="8" t="s">
        <v>186</v>
      </c>
      <c r="C23" s="8" t="s">
        <v>187</v>
      </c>
      <c r="D23" s="8" t="s">
        <v>188</v>
      </c>
      <c r="E23" s="8" t="s">
        <v>189</v>
      </c>
      <c r="F23" s="8" t="s">
        <v>133</v>
      </c>
      <c r="G23" s="8" t="s">
        <v>190</v>
      </c>
      <c r="H23" s="8" t="s">
        <v>191</v>
      </c>
    </row>
    <row r="24" customFormat="false" ht="90.75" hidden="false" customHeight="true" outlineLevel="0" collapsed="false">
      <c r="A24" s="7" t="s">
        <v>192</v>
      </c>
      <c r="B24" s="8" t="s">
        <v>186</v>
      </c>
      <c r="C24" s="8" t="s">
        <v>193</v>
      </c>
      <c r="D24" s="8" t="s">
        <v>188</v>
      </c>
      <c r="E24" s="8" t="s">
        <v>189</v>
      </c>
      <c r="F24" s="8" t="s">
        <v>194</v>
      </c>
      <c r="G24" s="8" t="s">
        <v>195</v>
      </c>
      <c r="H24" s="8" t="s">
        <v>196</v>
      </c>
    </row>
    <row r="25" customFormat="false" ht="90.75" hidden="false" customHeight="true" outlineLevel="0" collapsed="false">
      <c r="A25" s="7" t="s">
        <v>197</v>
      </c>
      <c r="B25" s="8" t="s">
        <v>186</v>
      </c>
      <c r="C25" s="8" t="s">
        <v>198</v>
      </c>
      <c r="D25" s="8" t="s">
        <v>188</v>
      </c>
      <c r="E25" s="8" t="s">
        <v>189</v>
      </c>
      <c r="F25" s="8" t="s">
        <v>133</v>
      </c>
      <c r="G25" s="8" t="s">
        <v>199</v>
      </c>
      <c r="H25" s="8" t="s">
        <v>200</v>
      </c>
    </row>
    <row r="26" customFormat="false" ht="90.75" hidden="false" customHeight="true" outlineLevel="0" collapsed="false">
      <c r="A26" s="7" t="s">
        <v>201</v>
      </c>
      <c r="B26" s="8" t="s">
        <v>186</v>
      </c>
      <c r="C26" s="8" t="s">
        <v>202</v>
      </c>
      <c r="D26" s="8" t="s">
        <v>188</v>
      </c>
      <c r="E26" s="8" t="s">
        <v>189</v>
      </c>
      <c r="F26" s="8" t="s">
        <v>133</v>
      </c>
      <c r="G26" s="8" t="s">
        <v>203</v>
      </c>
      <c r="H26" s="8" t="s">
        <v>204</v>
      </c>
    </row>
    <row r="27" customFormat="false" ht="90.75" hidden="false" customHeight="true" outlineLevel="0" collapsed="false">
      <c r="A27" s="7" t="s">
        <v>205</v>
      </c>
      <c r="B27" s="8" t="s">
        <v>186</v>
      </c>
      <c r="C27" s="8" t="s">
        <v>206</v>
      </c>
      <c r="D27" s="8" t="s">
        <v>188</v>
      </c>
      <c r="E27" s="8" t="s">
        <v>189</v>
      </c>
      <c r="F27" s="8" t="s">
        <v>133</v>
      </c>
      <c r="G27" s="8" t="s">
        <v>207</v>
      </c>
      <c r="H27" s="8" t="s">
        <v>208</v>
      </c>
    </row>
    <row r="28" customFormat="false" ht="90.75" hidden="false" customHeight="true" outlineLevel="0" collapsed="false">
      <c r="A28" s="7" t="s">
        <v>209</v>
      </c>
      <c r="B28" s="8" t="s">
        <v>186</v>
      </c>
      <c r="C28" s="8" t="s">
        <v>210</v>
      </c>
      <c r="D28" s="8" t="s">
        <v>188</v>
      </c>
      <c r="E28" s="8" t="s">
        <v>189</v>
      </c>
      <c r="F28" s="8" t="s">
        <v>133</v>
      </c>
      <c r="G28" s="8" t="s">
        <v>211</v>
      </c>
      <c r="H28" s="8" t="s">
        <v>212</v>
      </c>
    </row>
    <row r="29" customFormat="false" ht="90.75" hidden="false" customHeight="true" outlineLevel="0" collapsed="false">
      <c r="A29" s="7" t="s">
        <v>213</v>
      </c>
      <c r="B29" s="8" t="s">
        <v>186</v>
      </c>
      <c r="C29" s="8" t="s">
        <v>214</v>
      </c>
      <c r="D29" s="8" t="s">
        <v>188</v>
      </c>
      <c r="E29" s="8" t="s">
        <v>189</v>
      </c>
      <c r="F29" s="8" t="s">
        <v>133</v>
      </c>
      <c r="G29" s="8" t="s">
        <v>215</v>
      </c>
      <c r="H29" s="8" t="s">
        <v>216</v>
      </c>
    </row>
    <row r="30" customFormat="false" ht="90.75" hidden="false" customHeight="true" outlineLevel="0" collapsed="false">
      <c r="A30" s="7" t="s">
        <v>217</v>
      </c>
      <c r="B30" s="8" t="s">
        <v>186</v>
      </c>
      <c r="C30" s="8" t="s">
        <v>218</v>
      </c>
      <c r="D30" s="8" t="s">
        <v>188</v>
      </c>
      <c r="E30" s="8" t="s">
        <v>189</v>
      </c>
      <c r="F30" s="8" t="s">
        <v>133</v>
      </c>
      <c r="G30" s="8" t="s">
        <v>219</v>
      </c>
      <c r="H30" s="8" t="s">
        <v>220</v>
      </c>
    </row>
    <row r="31" customFormat="false" ht="90.75" hidden="false" customHeight="true" outlineLevel="0" collapsed="false">
      <c r="A31" s="7" t="s">
        <v>221</v>
      </c>
      <c r="B31" s="8" t="s">
        <v>186</v>
      </c>
      <c r="C31" s="8" t="s">
        <v>222</v>
      </c>
      <c r="D31" s="8" t="s">
        <v>188</v>
      </c>
      <c r="E31" s="8" t="s">
        <v>189</v>
      </c>
      <c r="F31" s="8" t="s">
        <v>133</v>
      </c>
      <c r="G31" s="8" t="s">
        <v>223</v>
      </c>
      <c r="H31" s="8" t="s">
        <v>224</v>
      </c>
    </row>
    <row r="32" customFormat="false" ht="90.75" hidden="false" customHeight="true" outlineLevel="0" collapsed="false">
      <c r="A32" s="7" t="s">
        <v>225</v>
      </c>
      <c r="B32" s="8" t="s">
        <v>186</v>
      </c>
      <c r="C32" s="8" t="s">
        <v>226</v>
      </c>
      <c r="D32" s="8" t="s">
        <v>188</v>
      </c>
      <c r="E32" s="8" t="s">
        <v>189</v>
      </c>
      <c r="F32" s="8" t="s">
        <v>133</v>
      </c>
      <c r="G32" s="8" t="s">
        <v>227</v>
      </c>
      <c r="H32" s="8" t="s">
        <v>228</v>
      </c>
    </row>
    <row r="33" customFormat="false" ht="30" hidden="false" customHeight="true" outlineLevel="0" collapsed="false">
      <c r="A33" s="7" t="s">
        <v>229</v>
      </c>
      <c r="B33" s="8" t="s">
        <v>186</v>
      </c>
      <c r="C33" s="8" t="s">
        <v>230</v>
      </c>
      <c r="D33" s="8" t="s">
        <v>131</v>
      </c>
      <c r="E33" s="8" t="s">
        <v>231</v>
      </c>
      <c r="F33" s="8" t="s">
        <v>133</v>
      </c>
      <c r="G33" s="8" t="s">
        <v>232</v>
      </c>
      <c r="H33" s="8" t="s">
        <v>233</v>
      </c>
    </row>
    <row r="34" customFormat="false" ht="30" hidden="false" customHeight="true" outlineLevel="0" collapsed="false">
      <c r="A34" s="7" t="s">
        <v>234</v>
      </c>
      <c r="B34" s="8" t="s">
        <v>186</v>
      </c>
      <c r="C34" s="8" t="s">
        <v>235</v>
      </c>
      <c r="D34" s="8" t="s">
        <v>236</v>
      </c>
      <c r="E34" s="8" t="s">
        <v>237</v>
      </c>
      <c r="F34" s="8" t="s">
        <v>238</v>
      </c>
      <c r="G34" s="8" t="s">
        <v>239</v>
      </c>
      <c r="H34" s="8" t="s">
        <v>240</v>
      </c>
    </row>
    <row r="35" customFormat="false" ht="78" hidden="false" customHeight="true" outlineLevel="0" collapsed="false">
      <c r="A35" s="7" t="s">
        <v>241</v>
      </c>
      <c r="B35" s="8" t="s">
        <v>242</v>
      </c>
      <c r="C35" s="8" t="s">
        <v>243</v>
      </c>
      <c r="D35" s="8" t="s">
        <v>244</v>
      </c>
      <c r="E35" s="8" t="s">
        <v>245</v>
      </c>
      <c r="F35" s="8" t="s">
        <v>246</v>
      </c>
      <c r="G35" s="8" t="s">
        <v>247</v>
      </c>
      <c r="H35" s="8" t="s">
        <v>248</v>
      </c>
    </row>
    <row r="36" customFormat="false" ht="30" hidden="false" customHeight="true" outlineLevel="0" collapsed="false">
      <c r="A36" s="7" t="s">
        <v>249</v>
      </c>
      <c r="B36" s="8" t="s">
        <v>250</v>
      </c>
      <c r="C36" s="8" t="s">
        <v>251</v>
      </c>
      <c r="D36" s="8" t="s">
        <v>252</v>
      </c>
      <c r="E36" s="8" t="s">
        <v>253</v>
      </c>
      <c r="F36" s="8"/>
      <c r="G36" s="8" t="s">
        <v>254</v>
      </c>
      <c r="H36" s="8" t="s">
        <v>255</v>
      </c>
    </row>
    <row r="37" customFormat="false" ht="30" hidden="false" customHeight="true" outlineLevel="0" collapsed="false">
      <c r="A37" s="7" t="s">
        <v>256</v>
      </c>
      <c r="B37" s="8" t="s">
        <v>250</v>
      </c>
      <c r="C37" s="8" t="s">
        <v>257</v>
      </c>
      <c r="D37" s="8" t="s">
        <v>252</v>
      </c>
      <c r="E37" s="8" t="s">
        <v>253</v>
      </c>
      <c r="F37" s="8"/>
      <c r="G37" s="8" t="s">
        <v>258</v>
      </c>
      <c r="H37" s="8" t="s">
        <v>259</v>
      </c>
    </row>
    <row r="38" customFormat="false" ht="30" hidden="false" customHeight="true" outlineLevel="0" collapsed="false">
      <c r="A38" s="7" t="s">
        <v>260</v>
      </c>
      <c r="B38" s="8" t="s">
        <v>250</v>
      </c>
      <c r="C38" s="8" t="s">
        <v>261</v>
      </c>
      <c r="D38" s="8" t="s">
        <v>252</v>
      </c>
      <c r="E38" s="8" t="s">
        <v>253</v>
      </c>
      <c r="F38" s="8"/>
      <c r="G38" s="8" t="s">
        <v>262</v>
      </c>
      <c r="H38" s="8" t="s">
        <v>263</v>
      </c>
    </row>
    <row r="40" customFormat="false" ht="314.9" hidden="false" customHeight="false" outlineLevel="0" collapsed="false">
      <c r="A40" s="2" t="s">
        <v>264</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4"/>
    <col collapsed="false" customWidth="true" hidden="false" outlineLevel="0" max="4" min="4" style="0" width="52"/>
    <col collapsed="false" customWidth="true" hidden="false" outlineLevel="0" max="5" min="5" style="0" width="8"/>
  </cols>
  <sheetData>
    <row r="1" customFormat="false" ht="15" hidden="false" customHeight="false" outlineLevel="0" collapsed="false">
      <c r="A1" s="6" t="s">
        <v>265</v>
      </c>
      <c r="B1" s="6" t="s">
        <v>266</v>
      </c>
      <c r="C1" s="6" t="s">
        <v>267</v>
      </c>
      <c r="D1" s="6" t="s">
        <v>268</v>
      </c>
      <c r="E1" s="6" t="s">
        <v>269</v>
      </c>
    </row>
    <row r="2" customFormat="false" ht="15" hidden="false" customHeight="false" outlineLevel="0" collapsed="false">
      <c r="A2" s="12" t="s">
        <v>270</v>
      </c>
      <c r="B2" s="12" t="s">
        <v>83</v>
      </c>
      <c r="C2" s="12" t="s">
        <v>271</v>
      </c>
      <c r="D2" s="12" t="s">
        <v>272</v>
      </c>
      <c r="E2" s="12"/>
    </row>
    <row r="3" customFormat="false" ht="15" hidden="false" customHeight="false" outlineLevel="0" collapsed="false">
      <c r="A3" s="12" t="s">
        <v>273</v>
      </c>
      <c r="B3" s="12" t="s">
        <v>83</v>
      </c>
      <c r="C3" s="12" t="s">
        <v>274</v>
      </c>
      <c r="D3" s="12" t="s">
        <v>275</v>
      </c>
      <c r="E3" s="12"/>
    </row>
    <row r="4" customFormat="false" ht="15" hidden="false" customHeight="false" outlineLevel="0" collapsed="false">
      <c r="A4" s="12" t="s">
        <v>276</v>
      </c>
      <c r="B4" s="12" t="s">
        <v>83</v>
      </c>
      <c r="C4" s="12" t="s">
        <v>277</v>
      </c>
      <c r="D4" s="12" t="s">
        <v>278</v>
      </c>
      <c r="E4" s="12"/>
    </row>
    <row r="5" customFormat="false" ht="15" hidden="false" customHeight="false" outlineLevel="0" collapsed="false">
      <c r="A5" s="12" t="s">
        <v>279</v>
      </c>
      <c r="B5" s="12" t="s">
        <v>83</v>
      </c>
      <c r="C5" s="12" t="s">
        <v>280</v>
      </c>
      <c r="D5" s="12" t="s">
        <v>281</v>
      </c>
      <c r="E5" s="12"/>
    </row>
    <row r="6" customFormat="false" ht="15" hidden="false" customHeight="false" outlineLevel="0" collapsed="false">
      <c r="A6" s="12" t="s">
        <v>282</v>
      </c>
      <c r="B6" s="12" t="s">
        <v>83</v>
      </c>
      <c r="C6" s="12" t="s">
        <v>283</v>
      </c>
      <c r="D6" s="12" t="s">
        <v>284</v>
      </c>
      <c r="E6" s="12"/>
    </row>
    <row r="7" customFormat="false" ht="15" hidden="false" customHeight="false" outlineLevel="0" collapsed="false">
      <c r="A7" s="12" t="s">
        <v>285</v>
      </c>
      <c r="B7" s="12" t="s">
        <v>83</v>
      </c>
      <c r="C7" s="12" t="s">
        <v>286</v>
      </c>
      <c r="D7" s="12" t="s">
        <v>287</v>
      </c>
      <c r="E7" s="12"/>
    </row>
    <row r="8" customFormat="false" ht="15" hidden="false" customHeight="false" outlineLevel="0" collapsed="false">
      <c r="A8" s="12" t="s">
        <v>288</v>
      </c>
      <c r="B8" s="12" t="s">
        <v>90</v>
      </c>
      <c r="C8" s="12" t="s">
        <v>289</v>
      </c>
      <c r="D8" s="12" t="s">
        <v>289</v>
      </c>
      <c r="E8" s="12"/>
    </row>
    <row r="9" customFormat="false" ht="15" hidden="false" customHeight="false" outlineLevel="0" collapsed="false">
      <c r="A9" s="12" t="s">
        <v>290</v>
      </c>
      <c r="B9" s="12" t="s">
        <v>90</v>
      </c>
      <c r="C9" s="12" t="s">
        <v>291</v>
      </c>
      <c r="D9" s="12" t="s">
        <v>291</v>
      </c>
      <c r="E9" s="12"/>
    </row>
    <row r="10" customFormat="false" ht="15" hidden="false" customHeight="false" outlineLevel="0" collapsed="false">
      <c r="A10" s="12" t="s">
        <v>292</v>
      </c>
      <c r="B10" s="12" t="s">
        <v>90</v>
      </c>
      <c r="C10" s="12" t="s">
        <v>293</v>
      </c>
      <c r="D10" s="12" t="s">
        <v>293</v>
      </c>
      <c r="E10" s="12"/>
    </row>
    <row r="11" customFormat="false" ht="15" hidden="false" customHeight="false" outlineLevel="0" collapsed="false">
      <c r="A11" s="12" t="s">
        <v>294</v>
      </c>
      <c r="B11" s="12" t="s">
        <v>90</v>
      </c>
      <c r="C11" s="12" t="s">
        <v>295</v>
      </c>
      <c r="D11" s="12" t="s">
        <v>295</v>
      </c>
      <c r="E11" s="12"/>
    </row>
    <row r="12" customFormat="false" ht="15" hidden="false" customHeight="false" outlineLevel="0" collapsed="false">
      <c r="A12" s="12" t="s">
        <v>296</v>
      </c>
      <c r="B12" s="12" t="s">
        <v>90</v>
      </c>
      <c r="C12" s="12" t="s">
        <v>297</v>
      </c>
      <c r="D12" s="12" t="s">
        <v>297</v>
      </c>
      <c r="E12" s="12"/>
    </row>
    <row r="13" customFormat="false" ht="15" hidden="false" customHeight="false" outlineLevel="0" collapsed="false">
      <c r="A13" s="12" t="s">
        <v>298</v>
      </c>
      <c r="B13" s="12" t="s">
        <v>90</v>
      </c>
      <c r="C13" s="12" t="s">
        <v>299</v>
      </c>
      <c r="D13" s="12" t="s">
        <v>300</v>
      </c>
      <c r="E13" s="12"/>
    </row>
    <row r="14" customFormat="false" ht="15" hidden="false" customHeight="false" outlineLevel="0" collapsed="false">
      <c r="A14" s="12" t="s">
        <v>301</v>
      </c>
      <c r="B14" s="12" t="s">
        <v>90</v>
      </c>
      <c r="C14" s="12" t="s">
        <v>302</v>
      </c>
      <c r="D14" s="12" t="s">
        <v>303</v>
      </c>
      <c r="E14" s="12"/>
    </row>
    <row r="15" customFormat="false" ht="15" hidden="false" customHeight="false" outlineLevel="0" collapsed="false">
      <c r="A15" s="12" t="s">
        <v>304</v>
      </c>
      <c r="B15" s="12" t="s">
        <v>95</v>
      </c>
      <c r="C15" s="12" t="s">
        <v>305</v>
      </c>
      <c r="D15" s="12" t="s">
        <v>306</v>
      </c>
      <c r="E15" s="12"/>
    </row>
    <row r="16" customFormat="false" ht="15" hidden="false" customHeight="false" outlineLevel="0" collapsed="false">
      <c r="A16" s="12" t="s">
        <v>307</v>
      </c>
      <c r="B16" s="12" t="s">
        <v>95</v>
      </c>
      <c r="C16" s="12" t="s">
        <v>308</v>
      </c>
      <c r="D16" s="12" t="s">
        <v>309</v>
      </c>
      <c r="E16" s="12"/>
    </row>
    <row r="17" customFormat="false" ht="15" hidden="false" customHeight="false" outlineLevel="0" collapsed="false">
      <c r="A17" s="12" t="s">
        <v>310</v>
      </c>
      <c r="B17" s="12" t="s">
        <v>95</v>
      </c>
      <c r="C17" s="12" t="s">
        <v>311</v>
      </c>
      <c r="D17" s="12" t="s">
        <v>312</v>
      </c>
      <c r="E17" s="12"/>
    </row>
    <row r="18" customFormat="false" ht="15" hidden="false" customHeight="false" outlineLevel="0" collapsed="false">
      <c r="A18" s="12" t="s">
        <v>313</v>
      </c>
      <c r="B18" s="12" t="s">
        <v>95</v>
      </c>
      <c r="C18" s="12" t="s">
        <v>302</v>
      </c>
      <c r="D18" s="12" t="s">
        <v>303</v>
      </c>
      <c r="E18" s="12"/>
    </row>
    <row r="19" customFormat="false" ht="15" hidden="false" customHeight="false" outlineLevel="0" collapsed="false">
      <c r="A19" s="12" t="s">
        <v>314</v>
      </c>
      <c r="B19" s="12" t="s">
        <v>100</v>
      </c>
      <c r="C19" s="12" t="s">
        <v>315</v>
      </c>
      <c r="D19" s="12" t="s">
        <v>316</v>
      </c>
      <c r="E19" s="12"/>
    </row>
    <row r="20" customFormat="false" ht="15" hidden="false" customHeight="false" outlineLevel="0" collapsed="false">
      <c r="A20" s="12" t="s">
        <v>317</v>
      </c>
      <c r="B20" s="12" t="s">
        <v>100</v>
      </c>
      <c r="C20" s="12" t="s">
        <v>318</v>
      </c>
      <c r="D20" s="12" t="s">
        <v>319</v>
      </c>
      <c r="E20" s="12"/>
    </row>
    <row r="21" customFormat="false" ht="15" hidden="false" customHeight="false" outlineLevel="0" collapsed="false">
      <c r="A21" s="12" t="s">
        <v>320</v>
      </c>
      <c r="B21" s="12" t="s">
        <v>100</v>
      </c>
      <c r="C21" s="12" t="s">
        <v>321</v>
      </c>
      <c r="D21" s="12" t="s">
        <v>322</v>
      </c>
      <c r="E21" s="12"/>
    </row>
    <row r="22" customFormat="false" ht="15" hidden="false" customHeight="false" outlineLevel="0" collapsed="false">
      <c r="A22" s="12" t="s">
        <v>323</v>
      </c>
      <c r="B22" s="12" t="s">
        <v>100</v>
      </c>
      <c r="C22" s="12" t="s">
        <v>324</v>
      </c>
      <c r="D22" s="12" t="s">
        <v>325</v>
      </c>
      <c r="E22" s="12"/>
    </row>
    <row r="23" customFormat="false" ht="15" hidden="false" customHeight="false" outlineLevel="0" collapsed="false">
      <c r="A23" s="12" t="s">
        <v>326</v>
      </c>
      <c r="B23" s="12" t="s">
        <v>100</v>
      </c>
      <c r="C23" s="12" t="s">
        <v>327</v>
      </c>
      <c r="D23" s="12" t="s">
        <v>328</v>
      </c>
      <c r="E23" s="12"/>
    </row>
    <row r="24" customFormat="false" ht="15" hidden="false" customHeight="false" outlineLevel="0" collapsed="false">
      <c r="A24" s="12" t="s">
        <v>329</v>
      </c>
      <c r="B24" s="12" t="s">
        <v>100</v>
      </c>
      <c r="C24" s="12" t="s">
        <v>330</v>
      </c>
      <c r="D24" s="12" t="s">
        <v>331</v>
      </c>
      <c r="E24" s="12"/>
    </row>
    <row r="25" customFormat="false" ht="15" hidden="false" customHeight="false" outlineLevel="0" collapsed="false">
      <c r="A25" s="12" t="s">
        <v>332</v>
      </c>
      <c r="B25" s="12" t="s">
        <v>105</v>
      </c>
      <c r="C25" s="12" t="s">
        <v>333</v>
      </c>
      <c r="D25" s="12" t="s">
        <v>334</v>
      </c>
      <c r="E25" s="12"/>
    </row>
    <row r="26" customFormat="false" ht="15" hidden="false" customHeight="false" outlineLevel="0" collapsed="false">
      <c r="A26" s="12" t="s">
        <v>335</v>
      </c>
      <c r="B26" s="12" t="s">
        <v>105</v>
      </c>
      <c r="C26" s="12" t="s">
        <v>336</v>
      </c>
      <c r="D26" s="12" t="s">
        <v>337</v>
      </c>
      <c r="E26" s="12"/>
    </row>
    <row r="27" customFormat="false" ht="15" hidden="false" customHeight="false" outlineLevel="0" collapsed="false">
      <c r="A27" s="12" t="s">
        <v>338</v>
      </c>
      <c r="B27" s="12" t="s">
        <v>105</v>
      </c>
      <c r="C27" s="12" t="s">
        <v>339</v>
      </c>
      <c r="D27" s="12" t="s">
        <v>340</v>
      </c>
      <c r="E27" s="12"/>
    </row>
    <row r="28" customFormat="false" ht="15" hidden="false" customHeight="false" outlineLevel="0" collapsed="false">
      <c r="A28" s="12" t="s">
        <v>341</v>
      </c>
      <c r="B28" s="12" t="s">
        <v>105</v>
      </c>
      <c r="C28" s="12" t="s">
        <v>302</v>
      </c>
      <c r="D28" s="12" t="s">
        <v>303</v>
      </c>
      <c r="E28" s="12"/>
    </row>
    <row r="29" customFormat="false" ht="15" hidden="false" customHeight="false" outlineLevel="0" collapsed="false">
      <c r="A29" s="12" t="s">
        <v>342</v>
      </c>
      <c r="B29" s="12" t="s">
        <v>110</v>
      </c>
      <c r="C29" s="12" t="s">
        <v>343</v>
      </c>
      <c r="D29" s="12" t="s">
        <v>343</v>
      </c>
      <c r="E29" s="12" t="n">
        <v>1</v>
      </c>
    </row>
    <row r="30" customFormat="false" ht="15" hidden="false" customHeight="false" outlineLevel="0" collapsed="false">
      <c r="A30" s="12" t="s">
        <v>344</v>
      </c>
      <c r="B30" s="12" t="s">
        <v>110</v>
      </c>
      <c r="C30" s="12" t="s">
        <v>345</v>
      </c>
      <c r="D30" s="12" t="s">
        <v>345</v>
      </c>
      <c r="E30" s="12" t="n">
        <v>2</v>
      </c>
    </row>
    <row r="31" customFormat="false" ht="15" hidden="false" customHeight="false" outlineLevel="0" collapsed="false">
      <c r="A31" s="12" t="s">
        <v>346</v>
      </c>
      <c r="B31" s="12" t="s">
        <v>110</v>
      </c>
      <c r="C31" s="12" t="s">
        <v>347</v>
      </c>
      <c r="D31" s="12" t="s">
        <v>347</v>
      </c>
      <c r="E31" s="12" t="n">
        <v>3</v>
      </c>
    </row>
    <row r="32" customFormat="false" ht="15" hidden="false" customHeight="false" outlineLevel="0" collapsed="false">
      <c r="A32" s="12" t="s">
        <v>348</v>
      </c>
      <c r="B32" s="12" t="s">
        <v>110</v>
      </c>
      <c r="C32" s="12" t="s">
        <v>349</v>
      </c>
      <c r="D32" s="12" t="s">
        <v>349</v>
      </c>
      <c r="E32" s="12" t="n">
        <v>4</v>
      </c>
    </row>
    <row r="33" customFormat="false" ht="15" hidden="false" customHeight="false" outlineLevel="0" collapsed="false">
      <c r="A33" s="12" t="s">
        <v>350</v>
      </c>
      <c r="B33" s="12" t="s">
        <v>110</v>
      </c>
      <c r="C33" s="12" t="s">
        <v>351</v>
      </c>
      <c r="D33" s="12" t="s">
        <v>351</v>
      </c>
      <c r="E33" s="12" t="n">
        <v>5</v>
      </c>
    </row>
    <row r="34" customFormat="false" ht="15" hidden="false" customHeight="false" outlineLevel="0" collapsed="false">
      <c r="A34" s="12" t="s">
        <v>352</v>
      </c>
      <c r="B34" s="12" t="s">
        <v>110</v>
      </c>
      <c r="C34" s="12" t="s">
        <v>353</v>
      </c>
      <c r="D34" s="12" t="s">
        <v>354</v>
      </c>
      <c r="E34" s="12" t="n">
        <v>6</v>
      </c>
    </row>
    <row r="35" customFormat="false" ht="15" hidden="false" customHeight="false" outlineLevel="0" collapsed="false">
      <c r="A35" s="12" t="s">
        <v>355</v>
      </c>
      <c r="B35" s="12" t="s">
        <v>116</v>
      </c>
      <c r="C35" s="12" t="s">
        <v>356</v>
      </c>
      <c r="D35" s="12" t="s">
        <v>357</v>
      </c>
      <c r="E35" s="12" t="n">
        <v>0</v>
      </c>
    </row>
    <row r="36" customFormat="false" ht="15" hidden="false" customHeight="false" outlineLevel="0" collapsed="false">
      <c r="A36" s="12" t="s">
        <v>358</v>
      </c>
      <c r="B36" s="12" t="s">
        <v>116</v>
      </c>
      <c r="C36" s="12" t="s">
        <v>359</v>
      </c>
      <c r="D36" s="12" t="s">
        <v>360</v>
      </c>
      <c r="E36" s="12" t="n">
        <v>1</v>
      </c>
    </row>
    <row r="37" customFormat="false" ht="15" hidden="false" customHeight="false" outlineLevel="0" collapsed="false">
      <c r="A37" s="12" t="s">
        <v>361</v>
      </c>
      <c r="B37" s="12" t="s">
        <v>116</v>
      </c>
      <c r="C37" s="12" t="s">
        <v>362</v>
      </c>
      <c r="D37" s="12" t="s">
        <v>363</v>
      </c>
      <c r="E37" s="12" t="n">
        <v>2</v>
      </c>
    </row>
    <row r="38" customFormat="false" ht="15" hidden="false" customHeight="false" outlineLevel="0" collapsed="false">
      <c r="A38" s="12" t="s">
        <v>364</v>
      </c>
      <c r="B38" s="12" t="s">
        <v>116</v>
      </c>
      <c r="C38" s="12" t="s">
        <v>365</v>
      </c>
      <c r="D38" s="12" t="s">
        <v>366</v>
      </c>
      <c r="E38" s="12" t="n">
        <v>3</v>
      </c>
    </row>
    <row r="39" customFormat="false" ht="15" hidden="false" customHeight="false" outlineLevel="0" collapsed="false">
      <c r="A39" s="12" t="s">
        <v>367</v>
      </c>
      <c r="B39" s="12" t="s">
        <v>116</v>
      </c>
      <c r="C39" s="12" t="s">
        <v>368</v>
      </c>
      <c r="D39" s="12" t="s">
        <v>369</v>
      </c>
      <c r="E39" s="12" t="n">
        <v>4</v>
      </c>
    </row>
    <row r="40" customFormat="false" ht="15" hidden="false" customHeight="false" outlineLevel="0" collapsed="false">
      <c r="A40" s="12" t="s">
        <v>370</v>
      </c>
      <c r="B40" s="12" t="s">
        <v>122</v>
      </c>
      <c r="C40" s="12" t="s">
        <v>371</v>
      </c>
      <c r="D40" s="12" t="s">
        <v>372</v>
      </c>
      <c r="E40" s="12"/>
    </row>
    <row r="41" customFormat="false" ht="15" hidden="false" customHeight="false" outlineLevel="0" collapsed="false">
      <c r="A41" s="12" t="s">
        <v>373</v>
      </c>
      <c r="B41" s="12" t="s">
        <v>122</v>
      </c>
      <c r="C41" s="12" t="s">
        <v>374</v>
      </c>
      <c r="D41" s="12" t="s">
        <v>375</v>
      </c>
      <c r="E41" s="12"/>
    </row>
    <row r="42" customFormat="false" ht="15" hidden="false" customHeight="false" outlineLevel="0" collapsed="false">
      <c r="A42" s="12" t="s">
        <v>376</v>
      </c>
      <c r="B42" s="12" t="s">
        <v>122</v>
      </c>
      <c r="C42" s="12" t="s">
        <v>377</v>
      </c>
      <c r="D42" s="12" t="s">
        <v>378</v>
      </c>
      <c r="E42" s="12"/>
    </row>
    <row r="43" customFormat="false" ht="15" hidden="false" customHeight="false" outlineLevel="0" collapsed="false">
      <c r="A43" s="12" t="s">
        <v>379</v>
      </c>
      <c r="B43" s="12" t="s">
        <v>122</v>
      </c>
      <c r="C43" s="12" t="s">
        <v>380</v>
      </c>
      <c r="D43" s="12" t="s">
        <v>381</v>
      </c>
      <c r="E43" s="12"/>
    </row>
    <row r="44" customFormat="false" ht="15" hidden="false" customHeight="false" outlineLevel="0" collapsed="false">
      <c r="A44" s="12" t="s">
        <v>382</v>
      </c>
      <c r="B44" s="12" t="s">
        <v>122</v>
      </c>
      <c r="C44" s="12" t="s">
        <v>383</v>
      </c>
      <c r="D44" s="12" t="s">
        <v>384</v>
      </c>
      <c r="E44" s="12"/>
    </row>
    <row r="45" customFormat="false" ht="15" hidden="false" customHeight="false" outlineLevel="0" collapsed="false">
      <c r="A45" s="12" t="s">
        <v>385</v>
      </c>
      <c r="B45" s="12" t="s">
        <v>122</v>
      </c>
      <c r="C45" s="12" t="s">
        <v>386</v>
      </c>
      <c r="D45" s="12" t="s">
        <v>387</v>
      </c>
      <c r="E45" s="12"/>
    </row>
    <row r="46" customFormat="false" ht="15" hidden="false" customHeight="false" outlineLevel="0" collapsed="false">
      <c r="A46" s="12" t="s">
        <v>388</v>
      </c>
      <c r="B46" s="12" t="s">
        <v>122</v>
      </c>
      <c r="C46" s="12" t="s">
        <v>302</v>
      </c>
      <c r="D46" s="12" t="s">
        <v>303</v>
      </c>
      <c r="E46" s="12"/>
    </row>
    <row r="47" customFormat="false" ht="15" hidden="false" customHeight="false" outlineLevel="0" collapsed="false">
      <c r="A47" s="12" t="s">
        <v>389</v>
      </c>
      <c r="B47" s="12" t="s">
        <v>136</v>
      </c>
      <c r="C47" s="12" t="s">
        <v>390</v>
      </c>
      <c r="D47" s="12" t="s">
        <v>391</v>
      </c>
      <c r="E47" s="12" t="n">
        <v>1</v>
      </c>
    </row>
    <row r="48" customFormat="false" ht="15" hidden="false" customHeight="false" outlineLevel="0" collapsed="false">
      <c r="A48" s="12" t="s">
        <v>392</v>
      </c>
      <c r="B48" s="12" t="s">
        <v>136</v>
      </c>
      <c r="C48" s="12" t="s">
        <v>343</v>
      </c>
      <c r="D48" s="12" t="s">
        <v>393</v>
      </c>
      <c r="E48" s="12" t="n">
        <v>2</v>
      </c>
    </row>
    <row r="49" customFormat="false" ht="15" hidden="false" customHeight="false" outlineLevel="0" collapsed="false">
      <c r="A49" s="12" t="s">
        <v>394</v>
      </c>
      <c r="B49" s="12" t="s">
        <v>136</v>
      </c>
      <c r="C49" s="12" t="s">
        <v>395</v>
      </c>
      <c r="D49" s="12" t="s">
        <v>396</v>
      </c>
      <c r="E49" s="12" t="n">
        <v>3</v>
      </c>
    </row>
    <row r="50" customFormat="false" ht="15" hidden="false" customHeight="false" outlineLevel="0" collapsed="false">
      <c r="A50" s="12" t="s">
        <v>397</v>
      </c>
      <c r="B50" s="12" t="s">
        <v>136</v>
      </c>
      <c r="C50" s="12" t="s">
        <v>398</v>
      </c>
      <c r="D50" s="12" t="s">
        <v>399</v>
      </c>
      <c r="E50" s="12" t="n">
        <v>4</v>
      </c>
    </row>
    <row r="51" customFormat="false" ht="15" hidden="false" customHeight="false" outlineLevel="0" collapsed="false">
      <c r="A51" s="12" t="s">
        <v>400</v>
      </c>
      <c r="B51" s="12" t="s">
        <v>136</v>
      </c>
      <c r="C51" s="12" t="s">
        <v>401</v>
      </c>
      <c r="D51" s="12" t="s">
        <v>402</v>
      </c>
      <c r="E51" s="12" t="n">
        <v>5</v>
      </c>
    </row>
    <row r="52" customFormat="false" ht="15" hidden="false" customHeight="false" outlineLevel="0" collapsed="false">
      <c r="A52" s="12" t="s">
        <v>403</v>
      </c>
      <c r="B52" s="12" t="s">
        <v>136</v>
      </c>
      <c r="C52" s="12" t="s">
        <v>404</v>
      </c>
      <c r="D52" s="12" t="s">
        <v>405</v>
      </c>
      <c r="E52" s="12" t="n">
        <v>6</v>
      </c>
    </row>
    <row r="53" customFormat="false" ht="15" hidden="false" customHeight="false" outlineLevel="0" collapsed="false">
      <c r="A53" s="12" t="s">
        <v>406</v>
      </c>
      <c r="B53" s="12" t="s">
        <v>143</v>
      </c>
      <c r="C53" s="12" t="s">
        <v>407</v>
      </c>
      <c r="D53" s="12" t="s">
        <v>408</v>
      </c>
      <c r="E53" s="12"/>
    </row>
    <row r="54" customFormat="false" ht="15" hidden="false" customHeight="false" outlineLevel="0" collapsed="false">
      <c r="A54" s="12" t="s">
        <v>409</v>
      </c>
      <c r="B54" s="12" t="s">
        <v>143</v>
      </c>
      <c r="C54" s="12" t="s">
        <v>410</v>
      </c>
      <c r="D54" s="12" t="s">
        <v>411</v>
      </c>
      <c r="E54" s="12"/>
    </row>
    <row r="55" customFormat="false" ht="15" hidden="false" customHeight="false" outlineLevel="0" collapsed="false">
      <c r="A55" s="12" t="s">
        <v>412</v>
      </c>
      <c r="B55" s="12" t="s">
        <v>143</v>
      </c>
      <c r="C55" s="12" t="s">
        <v>413</v>
      </c>
      <c r="D55" s="12" t="s">
        <v>414</v>
      </c>
      <c r="E55" s="12"/>
    </row>
    <row r="56" customFormat="false" ht="15" hidden="false" customHeight="false" outlineLevel="0" collapsed="false">
      <c r="A56" s="12" t="s">
        <v>415</v>
      </c>
      <c r="B56" s="12" t="s">
        <v>143</v>
      </c>
      <c r="C56" s="12" t="s">
        <v>416</v>
      </c>
      <c r="D56" s="12" t="s">
        <v>417</v>
      </c>
      <c r="E56" s="12"/>
    </row>
    <row r="57" customFormat="false" ht="15" hidden="false" customHeight="false" outlineLevel="0" collapsed="false">
      <c r="A57" s="12" t="s">
        <v>418</v>
      </c>
      <c r="B57" s="12" t="s">
        <v>143</v>
      </c>
      <c r="C57" s="12" t="s">
        <v>419</v>
      </c>
      <c r="D57" s="12" t="s">
        <v>420</v>
      </c>
      <c r="E57" s="12"/>
    </row>
    <row r="58" customFormat="false" ht="15" hidden="false" customHeight="false" outlineLevel="0" collapsed="false">
      <c r="A58" s="12" t="s">
        <v>421</v>
      </c>
      <c r="B58" s="12" t="s">
        <v>148</v>
      </c>
      <c r="C58" s="12" t="s">
        <v>407</v>
      </c>
      <c r="D58" s="12" t="s">
        <v>408</v>
      </c>
      <c r="E58" s="12"/>
    </row>
    <row r="59" customFormat="false" ht="15" hidden="false" customHeight="false" outlineLevel="0" collapsed="false">
      <c r="A59" s="12" t="s">
        <v>422</v>
      </c>
      <c r="B59" s="12" t="s">
        <v>148</v>
      </c>
      <c r="C59" s="12" t="s">
        <v>410</v>
      </c>
      <c r="D59" s="12" t="s">
        <v>411</v>
      </c>
      <c r="E59" s="12"/>
    </row>
    <row r="60" customFormat="false" ht="15" hidden="false" customHeight="false" outlineLevel="0" collapsed="false">
      <c r="A60" s="12" t="s">
        <v>423</v>
      </c>
      <c r="B60" s="12" t="s">
        <v>148</v>
      </c>
      <c r="C60" s="12" t="s">
        <v>424</v>
      </c>
      <c r="D60" s="12" t="s">
        <v>425</v>
      </c>
      <c r="E60" s="12"/>
    </row>
    <row r="61" customFormat="false" ht="15" hidden="false" customHeight="false" outlineLevel="0" collapsed="false">
      <c r="A61" s="12" t="s">
        <v>426</v>
      </c>
      <c r="B61" s="12" t="s">
        <v>148</v>
      </c>
      <c r="C61" s="12" t="s">
        <v>419</v>
      </c>
      <c r="D61" s="12" t="s">
        <v>420</v>
      </c>
      <c r="E61" s="12"/>
    </row>
    <row r="62" customFormat="false" ht="15" hidden="false" customHeight="false" outlineLevel="0" collapsed="false">
      <c r="A62" s="12" t="s">
        <v>427</v>
      </c>
      <c r="B62" s="12" t="s">
        <v>153</v>
      </c>
      <c r="C62" s="12" t="s">
        <v>428</v>
      </c>
      <c r="D62" s="12" t="s">
        <v>429</v>
      </c>
      <c r="E62" s="12" t="n">
        <v>1</v>
      </c>
    </row>
    <row r="63" customFormat="false" ht="15" hidden="false" customHeight="false" outlineLevel="0" collapsed="false">
      <c r="A63" s="12" t="s">
        <v>430</v>
      </c>
      <c r="B63" s="12" t="s">
        <v>153</v>
      </c>
      <c r="C63" s="12" t="s">
        <v>431</v>
      </c>
      <c r="D63" s="12" t="s">
        <v>432</v>
      </c>
      <c r="E63" s="12" t="n">
        <v>2</v>
      </c>
    </row>
    <row r="64" customFormat="false" ht="15" hidden="false" customHeight="false" outlineLevel="0" collapsed="false">
      <c r="A64" s="12" t="s">
        <v>433</v>
      </c>
      <c r="B64" s="12" t="s">
        <v>153</v>
      </c>
      <c r="C64" s="12" t="s">
        <v>434</v>
      </c>
      <c r="D64" s="12" t="s">
        <v>435</v>
      </c>
      <c r="E64" s="12" t="n">
        <v>3</v>
      </c>
    </row>
    <row r="65" customFormat="false" ht="15" hidden="false" customHeight="false" outlineLevel="0" collapsed="false">
      <c r="A65" s="12" t="s">
        <v>436</v>
      </c>
      <c r="B65" s="12" t="s">
        <v>153</v>
      </c>
      <c r="C65" s="12" t="s">
        <v>437</v>
      </c>
      <c r="D65" s="12" t="s">
        <v>438</v>
      </c>
      <c r="E65" s="12" t="n">
        <v>4</v>
      </c>
    </row>
    <row r="66" customFormat="false" ht="15" hidden="false" customHeight="false" outlineLevel="0" collapsed="false">
      <c r="A66" s="12" t="s">
        <v>439</v>
      </c>
      <c r="B66" s="12" t="s">
        <v>153</v>
      </c>
      <c r="C66" s="12" t="s">
        <v>440</v>
      </c>
      <c r="D66" s="12" t="s">
        <v>441</v>
      </c>
      <c r="E66" s="12" t="n">
        <v>5</v>
      </c>
    </row>
    <row r="67" customFormat="false" ht="15" hidden="false" customHeight="false" outlineLevel="0" collapsed="false">
      <c r="A67" s="12" t="s">
        <v>442</v>
      </c>
      <c r="B67" s="12" t="s">
        <v>159</v>
      </c>
      <c r="C67" s="12" t="s">
        <v>443</v>
      </c>
      <c r="D67" s="12" t="s">
        <v>444</v>
      </c>
      <c r="E67" s="12"/>
    </row>
    <row r="68" customFormat="false" ht="15" hidden="false" customHeight="false" outlineLevel="0" collapsed="false">
      <c r="A68" s="12" t="s">
        <v>445</v>
      </c>
      <c r="B68" s="12" t="s">
        <v>159</v>
      </c>
      <c r="C68" s="12" t="s">
        <v>446</v>
      </c>
      <c r="D68" s="12" t="s">
        <v>447</v>
      </c>
      <c r="E68" s="12"/>
    </row>
    <row r="69" customFormat="false" ht="15" hidden="false" customHeight="false" outlineLevel="0" collapsed="false">
      <c r="A69" s="12" t="s">
        <v>448</v>
      </c>
      <c r="B69" s="12" t="s">
        <v>159</v>
      </c>
      <c r="C69" s="12" t="s">
        <v>449</v>
      </c>
      <c r="D69" s="12" t="s">
        <v>450</v>
      </c>
      <c r="E69" s="12"/>
    </row>
    <row r="70" customFormat="false" ht="15" hidden="false" customHeight="false" outlineLevel="0" collapsed="false">
      <c r="A70" s="12" t="s">
        <v>451</v>
      </c>
      <c r="B70" s="12" t="s">
        <v>159</v>
      </c>
      <c r="C70" s="12" t="s">
        <v>452</v>
      </c>
      <c r="D70" s="12" t="s">
        <v>453</v>
      </c>
      <c r="E70" s="12"/>
    </row>
    <row r="71" customFormat="false" ht="15" hidden="false" customHeight="false" outlineLevel="0" collapsed="false">
      <c r="A71" s="12" t="s">
        <v>454</v>
      </c>
      <c r="B71" s="12" t="s">
        <v>159</v>
      </c>
      <c r="C71" s="12" t="s">
        <v>455</v>
      </c>
      <c r="D71" s="12" t="s">
        <v>456</v>
      </c>
      <c r="E71" s="12"/>
    </row>
    <row r="72" customFormat="false" ht="15" hidden="false" customHeight="false" outlineLevel="0" collapsed="false">
      <c r="A72" s="12" t="s">
        <v>457</v>
      </c>
      <c r="B72" s="12" t="s">
        <v>159</v>
      </c>
      <c r="C72" s="12" t="s">
        <v>458</v>
      </c>
      <c r="D72" s="12" t="s">
        <v>459</v>
      </c>
      <c r="E72" s="12"/>
    </row>
    <row r="73" customFormat="false" ht="15" hidden="false" customHeight="false" outlineLevel="0" collapsed="false">
      <c r="A73" s="12" t="s">
        <v>460</v>
      </c>
      <c r="B73" s="12" t="s">
        <v>159</v>
      </c>
      <c r="C73" s="12" t="s">
        <v>461</v>
      </c>
      <c r="D73" s="12" t="s">
        <v>462</v>
      </c>
      <c r="E73" s="12"/>
    </row>
    <row r="74" customFormat="false" ht="15" hidden="false" customHeight="false" outlineLevel="0" collapsed="false">
      <c r="A74" s="12" t="s">
        <v>463</v>
      </c>
      <c r="B74" s="12" t="s">
        <v>159</v>
      </c>
      <c r="C74" s="12" t="s">
        <v>464</v>
      </c>
      <c r="D74" s="12" t="s">
        <v>465</v>
      </c>
      <c r="E74" s="12"/>
    </row>
    <row r="75" customFormat="false" ht="15" hidden="false" customHeight="false" outlineLevel="0" collapsed="false">
      <c r="A75" s="12" t="s">
        <v>466</v>
      </c>
      <c r="B75" s="12" t="s">
        <v>159</v>
      </c>
      <c r="C75" s="12" t="s">
        <v>467</v>
      </c>
      <c r="D75" s="12" t="s">
        <v>468</v>
      </c>
      <c r="E75" s="12"/>
    </row>
    <row r="76" customFormat="false" ht="15" hidden="false" customHeight="false" outlineLevel="0" collapsed="false">
      <c r="A76" s="12" t="s">
        <v>469</v>
      </c>
      <c r="B76" s="12" t="s">
        <v>159</v>
      </c>
      <c r="C76" s="12" t="s">
        <v>470</v>
      </c>
      <c r="D76" s="12" t="s">
        <v>471</v>
      </c>
      <c r="E76" s="12"/>
    </row>
    <row r="77" customFormat="false" ht="15" hidden="false" customHeight="false" outlineLevel="0" collapsed="false">
      <c r="A77" s="12" t="s">
        <v>472</v>
      </c>
      <c r="B77" s="12" t="s">
        <v>159</v>
      </c>
      <c r="C77" s="12" t="s">
        <v>473</v>
      </c>
      <c r="D77" s="12" t="s">
        <v>474</v>
      </c>
      <c r="E77" s="12"/>
    </row>
    <row r="78" customFormat="false" ht="15" hidden="false" customHeight="false" outlineLevel="0" collapsed="false">
      <c r="A78" s="12" t="s">
        <v>475</v>
      </c>
      <c r="B78" s="12" t="s">
        <v>159</v>
      </c>
      <c r="C78" s="12" t="s">
        <v>371</v>
      </c>
      <c r="D78" s="12" t="s">
        <v>372</v>
      </c>
      <c r="E78" s="12"/>
    </row>
    <row r="79" customFormat="false" ht="15" hidden="false" customHeight="false" outlineLevel="0" collapsed="false">
      <c r="A79" s="12" t="s">
        <v>476</v>
      </c>
      <c r="B79" s="12" t="s">
        <v>164</v>
      </c>
      <c r="C79" s="12" t="s">
        <v>477</v>
      </c>
      <c r="D79" s="12" t="s">
        <v>478</v>
      </c>
      <c r="E79" s="12"/>
    </row>
    <row r="80" customFormat="false" ht="15" hidden="false" customHeight="false" outlineLevel="0" collapsed="false">
      <c r="A80" s="12" t="s">
        <v>479</v>
      </c>
      <c r="B80" s="12" t="s">
        <v>164</v>
      </c>
      <c r="C80" s="12" t="s">
        <v>480</v>
      </c>
      <c r="D80" s="12" t="s">
        <v>481</v>
      </c>
      <c r="E80" s="12"/>
    </row>
    <row r="81" customFormat="false" ht="15" hidden="false" customHeight="false" outlineLevel="0" collapsed="false">
      <c r="A81" s="12" t="s">
        <v>482</v>
      </c>
      <c r="B81" s="12" t="s">
        <v>164</v>
      </c>
      <c r="C81" s="12" t="s">
        <v>483</v>
      </c>
      <c r="D81" s="12" t="s">
        <v>484</v>
      </c>
      <c r="E81" s="12"/>
    </row>
    <row r="82" customFormat="false" ht="15" hidden="false" customHeight="false" outlineLevel="0" collapsed="false">
      <c r="A82" s="12" t="s">
        <v>485</v>
      </c>
      <c r="B82" s="12" t="s">
        <v>164</v>
      </c>
      <c r="C82" s="12" t="s">
        <v>486</v>
      </c>
      <c r="D82" s="12" t="s">
        <v>487</v>
      </c>
      <c r="E82" s="12"/>
    </row>
    <row r="83" customFormat="false" ht="15" hidden="false" customHeight="false" outlineLevel="0" collapsed="false">
      <c r="A83" s="12" t="s">
        <v>488</v>
      </c>
      <c r="B83" s="12" t="s">
        <v>164</v>
      </c>
      <c r="C83" s="12" t="s">
        <v>489</v>
      </c>
      <c r="D83" s="12" t="s">
        <v>490</v>
      </c>
      <c r="E83" s="12"/>
    </row>
    <row r="84" customFormat="false" ht="15" hidden="false" customHeight="false" outlineLevel="0" collapsed="false">
      <c r="A84" s="12" t="s">
        <v>491</v>
      </c>
      <c r="B84" s="12" t="s">
        <v>164</v>
      </c>
      <c r="C84" s="12" t="s">
        <v>473</v>
      </c>
      <c r="D84" s="12" t="s">
        <v>492</v>
      </c>
      <c r="E84" s="12"/>
    </row>
    <row r="85" customFormat="false" ht="15" hidden="false" customHeight="false" outlineLevel="0" collapsed="false">
      <c r="A85" s="12" t="s">
        <v>493</v>
      </c>
      <c r="B85" s="12" t="s">
        <v>164</v>
      </c>
      <c r="C85" s="12" t="s">
        <v>494</v>
      </c>
      <c r="D85" s="12" t="s">
        <v>495</v>
      </c>
      <c r="E85" s="12"/>
    </row>
    <row r="86" customFormat="false" ht="15" hidden="false" customHeight="false" outlineLevel="0" collapsed="false">
      <c r="A86" s="12" t="s">
        <v>496</v>
      </c>
      <c r="B86" s="12" t="s">
        <v>164</v>
      </c>
      <c r="C86" s="12" t="s">
        <v>497</v>
      </c>
      <c r="D86" s="12" t="s">
        <v>498</v>
      </c>
      <c r="E86" s="12"/>
    </row>
    <row r="87" customFormat="false" ht="15" hidden="false" customHeight="false" outlineLevel="0" collapsed="false">
      <c r="A87" s="12" t="s">
        <v>499</v>
      </c>
      <c r="B87" s="12" t="s">
        <v>169</v>
      </c>
      <c r="C87" s="12" t="s">
        <v>480</v>
      </c>
      <c r="D87" s="12" t="s">
        <v>500</v>
      </c>
      <c r="E87" s="12"/>
    </row>
    <row r="88" customFormat="false" ht="15" hidden="false" customHeight="false" outlineLevel="0" collapsed="false">
      <c r="A88" s="12" t="s">
        <v>501</v>
      </c>
      <c r="B88" s="12" t="s">
        <v>169</v>
      </c>
      <c r="C88" s="12" t="s">
        <v>483</v>
      </c>
      <c r="D88" s="12" t="s">
        <v>502</v>
      </c>
      <c r="E88" s="12"/>
    </row>
    <row r="89" customFormat="false" ht="15" hidden="false" customHeight="false" outlineLevel="0" collapsed="false">
      <c r="A89" s="12" t="s">
        <v>503</v>
      </c>
      <c r="B89" s="12" t="s">
        <v>169</v>
      </c>
      <c r="C89" s="12" t="s">
        <v>504</v>
      </c>
      <c r="D89" s="12" t="s">
        <v>505</v>
      </c>
      <c r="E89" s="12"/>
    </row>
    <row r="90" customFormat="false" ht="15" hidden="false" customHeight="false" outlineLevel="0" collapsed="false">
      <c r="A90" s="12" t="s">
        <v>506</v>
      </c>
      <c r="B90" s="12" t="s">
        <v>169</v>
      </c>
      <c r="C90" s="12" t="s">
        <v>507</v>
      </c>
      <c r="D90" s="12" t="s">
        <v>508</v>
      </c>
      <c r="E90" s="12"/>
    </row>
    <row r="91" customFormat="false" ht="15" hidden="false" customHeight="false" outlineLevel="0" collapsed="false">
      <c r="A91" s="12" t="s">
        <v>509</v>
      </c>
      <c r="B91" s="12" t="s">
        <v>169</v>
      </c>
      <c r="C91" s="12" t="s">
        <v>510</v>
      </c>
      <c r="D91" s="12" t="s">
        <v>511</v>
      </c>
      <c r="E91" s="12"/>
    </row>
    <row r="92" customFormat="false" ht="15" hidden="false" customHeight="false" outlineLevel="0" collapsed="false">
      <c r="A92" s="12" t="s">
        <v>512</v>
      </c>
      <c r="B92" s="12" t="s">
        <v>174</v>
      </c>
      <c r="C92" s="12" t="s">
        <v>356</v>
      </c>
      <c r="D92" s="12" t="s">
        <v>513</v>
      </c>
      <c r="E92" s="12" t="n">
        <v>0</v>
      </c>
    </row>
    <row r="93" customFormat="false" ht="15" hidden="false" customHeight="false" outlineLevel="0" collapsed="false">
      <c r="A93" s="12" t="s">
        <v>514</v>
      </c>
      <c r="B93" s="12" t="s">
        <v>174</v>
      </c>
      <c r="C93" s="12" t="s">
        <v>343</v>
      </c>
      <c r="D93" s="12" t="s">
        <v>515</v>
      </c>
      <c r="E93" s="12" t="n">
        <v>1</v>
      </c>
    </row>
    <row r="94" customFormat="false" ht="15" hidden="false" customHeight="false" outlineLevel="0" collapsed="false">
      <c r="A94" s="12" t="s">
        <v>516</v>
      </c>
      <c r="B94" s="12" t="s">
        <v>174</v>
      </c>
      <c r="C94" s="12" t="s">
        <v>395</v>
      </c>
      <c r="D94" s="12" t="s">
        <v>517</v>
      </c>
      <c r="E94" s="12" t="n">
        <v>2</v>
      </c>
    </row>
    <row r="95" customFormat="false" ht="15" hidden="false" customHeight="false" outlineLevel="0" collapsed="false">
      <c r="A95" s="12" t="s">
        <v>518</v>
      </c>
      <c r="B95" s="12" t="s">
        <v>174</v>
      </c>
      <c r="C95" s="12" t="s">
        <v>398</v>
      </c>
      <c r="D95" s="12" t="s">
        <v>519</v>
      </c>
      <c r="E95" s="12" t="n">
        <v>3</v>
      </c>
    </row>
    <row r="96" customFormat="false" ht="15" hidden="false" customHeight="false" outlineLevel="0" collapsed="false">
      <c r="A96" s="12" t="s">
        <v>520</v>
      </c>
      <c r="B96" s="12" t="s">
        <v>174</v>
      </c>
      <c r="C96" s="12" t="s">
        <v>521</v>
      </c>
      <c r="D96" s="12" t="s">
        <v>522</v>
      </c>
      <c r="E96" s="12" t="n">
        <v>4</v>
      </c>
    </row>
    <row r="97" customFormat="false" ht="15" hidden="false" customHeight="false" outlineLevel="0" collapsed="false">
      <c r="A97" s="12" t="s">
        <v>523</v>
      </c>
      <c r="B97" s="12" t="s">
        <v>180</v>
      </c>
      <c r="C97" s="12" t="s">
        <v>524</v>
      </c>
      <c r="D97" s="12" t="s">
        <v>525</v>
      </c>
      <c r="E97" s="12"/>
    </row>
    <row r="98" customFormat="false" ht="15" hidden="false" customHeight="false" outlineLevel="0" collapsed="false">
      <c r="A98" s="12" t="s">
        <v>526</v>
      </c>
      <c r="B98" s="12" t="s">
        <v>180</v>
      </c>
      <c r="C98" s="12" t="s">
        <v>455</v>
      </c>
      <c r="D98" s="12" t="s">
        <v>527</v>
      </c>
      <c r="E98" s="12"/>
    </row>
    <row r="99" customFormat="false" ht="15" hidden="false" customHeight="false" outlineLevel="0" collapsed="false">
      <c r="A99" s="12" t="s">
        <v>528</v>
      </c>
      <c r="B99" s="12" t="s">
        <v>180</v>
      </c>
      <c r="C99" s="12" t="s">
        <v>529</v>
      </c>
      <c r="D99" s="12" t="s">
        <v>530</v>
      </c>
      <c r="E99" s="12"/>
    </row>
    <row r="100" customFormat="false" ht="15" hidden="false" customHeight="false" outlineLevel="0" collapsed="false">
      <c r="A100" s="12" t="s">
        <v>531</v>
      </c>
      <c r="B100" s="12" t="s">
        <v>180</v>
      </c>
      <c r="C100" s="12" t="s">
        <v>532</v>
      </c>
      <c r="D100" s="12" t="s">
        <v>533</v>
      </c>
      <c r="E100" s="12"/>
    </row>
    <row r="101" customFormat="false" ht="15" hidden="false" customHeight="false" outlineLevel="0" collapsed="false">
      <c r="A101" s="12" t="s">
        <v>534</v>
      </c>
      <c r="B101" s="12" t="s">
        <v>180</v>
      </c>
      <c r="C101" s="12" t="s">
        <v>480</v>
      </c>
      <c r="D101" s="12" t="s">
        <v>535</v>
      </c>
      <c r="E101" s="12"/>
    </row>
    <row r="102" customFormat="false" ht="15" hidden="false" customHeight="false" outlineLevel="0" collapsed="false">
      <c r="A102" s="12" t="s">
        <v>536</v>
      </c>
      <c r="B102" s="12" t="s">
        <v>180</v>
      </c>
      <c r="C102" s="12" t="s">
        <v>371</v>
      </c>
      <c r="D102" s="12" t="s">
        <v>537</v>
      </c>
      <c r="E102" s="12"/>
    </row>
    <row r="103" customFormat="false" ht="15" hidden="false" customHeight="false" outlineLevel="0" collapsed="false">
      <c r="A103" s="12" t="s">
        <v>538</v>
      </c>
      <c r="B103" s="12" t="s">
        <v>241</v>
      </c>
      <c r="C103" s="12" t="s">
        <v>539</v>
      </c>
      <c r="D103" s="12" t="s">
        <v>540</v>
      </c>
      <c r="E103" s="12"/>
    </row>
    <row r="104" customFormat="false" ht="15" hidden="false" customHeight="false" outlineLevel="0" collapsed="false">
      <c r="A104" s="12" t="s">
        <v>541</v>
      </c>
      <c r="B104" s="12" t="s">
        <v>241</v>
      </c>
      <c r="C104" s="12" t="s">
        <v>542</v>
      </c>
      <c r="D104" s="12" t="s">
        <v>543</v>
      </c>
      <c r="E104" s="12"/>
    </row>
    <row r="105" customFormat="false" ht="15" hidden="false" customHeight="false" outlineLevel="0" collapsed="false">
      <c r="A105" s="12" t="s">
        <v>544</v>
      </c>
      <c r="B105" s="12" t="s">
        <v>241</v>
      </c>
      <c r="C105" s="12" t="s">
        <v>449</v>
      </c>
      <c r="D105" s="12" t="s">
        <v>545</v>
      </c>
      <c r="E105" s="12"/>
    </row>
    <row r="106" customFormat="false" ht="15" hidden="false" customHeight="false" outlineLevel="0" collapsed="false">
      <c r="A106" s="12" t="s">
        <v>546</v>
      </c>
      <c r="B106" s="12" t="s">
        <v>241</v>
      </c>
      <c r="C106" s="12" t="s">
        <v>547</v>
      </c>
      <c r="D106" s="12" t="s">
        <v>548</v>
      </c>
      <c r="E106" s="12"/>
    </row>
    <row r="107" customFormat="false" ht="15" hidden="false" customHeight="false" outlineLevel="0" collapsed="false">
      <c r="A107" s="12" t="s">
        <v>549</v>
      </c>
      <c r="B107" s="12" t="s">
        <v>241</v>
      </c>
      <c r="C107" s="12" t="s">
        <v>467</v>
      </c>
      <c r="D107" s="12" t="s">
        <v>550</v>
      </c>
      <c r="E107" s="12"/>
    </row>
    <row r="108" customFormat="false" ht="15" hidden="false" customHeight="false" outlineLevel="0" collapsed="false">
      <c r="A108" s="12" t="s">
        <v>551</v>
      </c>
      <c r="B108" s="12" t="s">
        <v>241</v>
      </c>
      <c r="C108" s="12" t="s">
        <v>552</v>
      </c>
      <c r="D108" s="12" t="s">
        <v>553</v>
      </c>
      <c r="E108"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F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4" min="3" style="0" width="10"/>
    <col collapsed="false" customWidth="true" hidden="false" outlineLevel="0" max="5" min="5" style="0" width="9"/>
    <col collapsed="false" customWidth="true" hidden="false" outlineLevel="0" max="7" min="6" style="0" width="10"/>
    <col collapsed="false" customWidth="true" hidden="false" outlineLevel="0" max="17" min="8" style="0" width="9"/>
    <col collapsed="false" customWidth="true" hidden="false" outlineLevel="0" max="18" min="18" style="0" width="10"/>
    <col collapsed="false" customWidth="true" hidden="false" outlineLevel="0" max="23" min="19" style="0" width="9"/>
    <col collapsed="false" customWidth="true" hidden="false" outlineLevel="0" max="25" min="24" style="0" width="10"/>
    <col collapsed="false" customWidth="true" hidden="false" outlineLevel="0" max="45" min="26" style="0" width="9"/>
    <col collapsed="false" customWidth="true" hidden="false" outlineLevel="0" max="46" min="46" style="0" width="10"/>
    <col collapsed="false" customWidth="true" hidden="false" outlineLevel="0" max="71" min="47" style="0" width="9"/>
    <col collapsed="false" customWidth="true" hidden="false" outlineLevel="0" max="74" min="72" style="0" width="60"/>
    <col collapsed="false" customWidth="true" hidden="false" outlineLevel="0" max="81" min="75" style="0" width="9"/>
    <col collapsed="false" customWidth="true" hidden="false" outlineLevel="0" max="82" min="82" style="0" width="24"/>
    <col collapsed="false" customWidth="true" hidden="false" outlineLevel="0" max="84" min="83" style="0" width="9"/>
  </cols>
  <sheetData>
    <row r="1" customFormat="false" ht="30" hidden="false" customHeight="true" outlineLevel="0" collapsed="false">
      <c r="A1" s="13" t="s">
        <v>554</v>
      </c>
      <c r="B1" s="13" t="s">
        <v>555</v>
      </c>
      <c r="C1" s="13" t="s">
        <v>88</v>
      </c>
      <c r="D1" s="13" t="s">
        <v>93</v>
      </c>
      <c r="E1" s="13" t="s">
        <v>98</v>
      </c>
      <c r="F1" s="13" t="s">
        <v>103</v>
      </c>
      <c r="G1" s="13" t="s">
        <v>108</v>
      </c>
      <c r="H1" s="13" t="s">
        <v>114</v>
      </c>
      <c r="I1" s="13" t="s">
        <v>120</v>
      </c>
      <c r="J1" s="13" t="s">
        <v>556</v>
      </c>
      <c r="K1" s="13" t="s">
        <v>557</v>
      </c>
      <c r="L1" s="13" t="s">
        <v>558</v>
      </c>
      <c r="M1" s="13" t="s">
        <v>559</v>
      </c>
      <c r="N1" s="13" t="s">
        <v>560</v>
      </c>
      <c r="O1" s="13" t="s">
        <v>561</v>
      </c>
      <c r="P1" s="13" t="s">
        <v>562</v>
      </c>
      <c r="Q1" s="13" t="s">
        <v>134</v>
      </c>
      <c r="R1" s="13" t="s">
        <v>141</v>
      </c>
      <c r="S1" s="13" t="s">
        <v>563</v>
      </c>
      <c r="T1" s="13" t="s">
        <v>564</v>
      </c>
      <c r="U1" s="13" t="s">
        <v>565</v>
      </c>
      <c r="V1" s="13" t="s">
        <v>566</v>
      </c>
      <c r="W1" s="13" t="s">
        <v>567</v>
      </c>
      <c r="X1" s="13" t="s">
        <v>151</v>
      </c>
      <c r="Y1" s="13" t="s">
        <v>157</v>
      </c>
      <c r="Z1" s="13" t="s">
        <v>568</v>
      </c>
      <c r="AA1" s="13" t="s">
        <v>569</v>
      </c>
      <c r="AB1" s="13" t="s">
        <v>570</v>
      </c>
      <c r="AC1" s="13" t="s">
        <v>571</v>
      </c>
      <c r="AD1" s="13" t="s">
        <v>572</v>
      </c>
      <c r="AE1" s="13" t="s">
        <v>573</v>
      </c>
      <c r="AF1" s="13" t="s">
        <v>574</v>
      </c>
      <c r="AG1" s="13" t="s">
        <v>575</v>
      </c>
      <c r="AH1" s="13" t="s">
        <v>576</v>
      </c>
      <c r="AI1" s="13" t="s">
        <v>577</v>
      </c>
      <c r="AJ1" s="13" t="s">
        <v>578</v>
      </c>
      <c r="AK1" s="13" t="s">
        <v>579</v>
      </c>
      <c r="AL1" s="13" t="s">
        <v>580</v>
      </c>
      <c r="AM1" s="13" t="s">
        <v>581</v>
      </c>
      <c r="AN1" s="13" t="s">
        <v>582</v>
      </c>
      <c r="AO1" s="13" t="s">
        <v>583</v>
      </c>
      <c r="AP1" s="13" t="s">
        <v>584</v>
      </c>
      <c r="AQ1" s="13" t="s">
        <v>585</v>
      </c>
      <c r="AR1" s="13" t="s">
        <v>586</v>
      </c>
      <c r="AS1" s="13" t="s">
        <v>587</v>
      </c>
      <c r="AT1" s="13" t="s">
        <v>172</v>
      </c>
      <c r="AU1" s="13" t="s">
        <v>178</v>
      </c>
      <c r="AV1" s="13" t="s">
        <v>588</v>
      </c>
      <c r="AW1" s="13" t="s">
        <v>589</v>
      </c>
      <c r="AX1" s="13" t="s">
        <v>590</v>
      </c>
      <c r="AY1" s="13" t="s">
        <v>591</v>
      </c>
      <c r="AZ1" s="13" t="s">
        <v>592</v>
      </c>
      <c r="BA1" s="13" t="s">
        <v>593</v>
      </c>
      <c r="BB1" s="13" t="s">
        <v>190</v>
      </c>
      <c r="BC1" s="13" t="s">
        <v>195</v>
      </c>
      <c r="BD1" s="13" t="s">
        <v>199</v>
      </c>
      <c r="BE1" s="13" t="s">
        <v>203</v>
      </c>
      <c r="BF1" s="13" t="s">
        <v>207</v>
      </c>
      <c r="BG1" s="13" t="s">
        <v>211</v>
      </c>
      <c r="BH1" s="13" t="s">
        <v>215</v>
      </c>
      <c r="BI1" s="13" t="s">
        <v>219</v>
      </c>
      <c r="BJ1" s="13" t="s">
        <v>223</v>
      </c>
      <c r="BK1" s="13" t="s">
        <v>227</v>
      </c>
      <c r="BL1" s="13" t="s">
        <v>232</v>
      </c>
      <c r="BM1" s="13" t="s">
        <v>239</v>
      </c>
      <c r="BN1" s="13" t="s">
        <v>594</v>
      </c>
      <c r="BO1" s="13" t="s">
        <v>595</v>
      </c>
      <c r="BP1" s="13" t="s">
        <v>596</v>
      </c>
      <c r="BQ1" s="13" t="s">
        <v>597</v>
      </c>
      <c r="BR1" s="13" t="s">
        <v>598</v>
      </c>
      <c r="BS1" s="13" t="s">
        <v>599</v>
      </c>
      <c r="BT1" s="13" t="s">
        <v>254</v>
      </c>
      <c r="BU1" s="13" t="s">
        <v>258</v>
      </c>
      <c r="BV1" s="13" t="s">
        <v>262</v>
      </c>
      <c r="BW1" s="14" t="s">
        <v>600</v>
      </c>
      <c r="BX1" s="14" t="s">
        <v>601</v>
      </c>
      <c r="BY1" s="14" t="s">
        <v>602</v>
      </c>
      <c r="BZ1" s="14" t="s">
        <v>603</v>
      </c>
      <c r="CA1" s="14" t="s">
        <v>604</v>
      </c>
      <c r="CB1" s="14" t="s">
        <v>605</v>
      </c>
      <c r="CC1" s="14" t="s">
        <v>606</v>
      </c>
      <c r="CD1" s="15" t="s">
        <v>607</v>
      </c>
      <c r="CE1" s="15" t="s">
        <v>608</v>
      </c>
      <c r="CF1" s="15" t="s">
        <v>609</v>
      </c>
    </row>
    <row r="2" customFormat="false" ht="15" hidden="false" customHeight="false" outlineLevel="0" collapsed="false">
      <c r="A2" s="12" t="s">
        <v>610</v>
      </c>
      <c r="B2" s="12" t="s">
        <v>611</v>
      </c>
      <c r="C2" s="12" t="s">
        <v>280</v>
      </c>
      <c r="D2" s="12" t="s">
        <v>295</v>
      </c>
      <c r="E2" s="12" t="s">
        <v>305</v>
      </c>
      <c r="F2" s="12" t="s">
        <v>318</v>
      </c>
      <c r="G2" s="12" t="s">
        <v>333</v>
      </c>
      <c r="H2" s="12" t="s">
        <v>345</v>
      </c>
      <c r="I2" s="12" t="s">
        <v>359</v>
      </c>
      <c r="J2" s="12" t="n">
        <v>1</v>
      </c>
      <c r="K2" s="12" t="n">
        <v>0</v>
      </c>
      <c r="L2" s="12" t="n">
        <v>0</v>
      </c>
      <c r="M2" s="12" t="n">
        <v>0</v>
      </c>
      <c r="N2" s="12" t="n">
        <v>0</v>
      </c>
      <c r="O2" s="12" t="n">
        <v>0</v>
      </c>
      <c r="P2" s="12" t="n">
        <v>0</v>
      </c>
      <c r="Q2" s="12" t="n">
        <v>6</v>
      </c>
      <c r="R2" s="12" t="s">
        <v>404</v>
      </c>
      <c r="S2" s="12" t="n">
        <v>1</v>
      </c>
      <c r="T2" s="12" t="n">
        <v>1</v>
      </c>
      <c r="U2" s="12" t="n">
        <v>0</v>
      </c>
      <c r="V2" s="12" t="n">
        <v>0</v>
      </c>
      <c r="W2" s="12" t="n">
        <v>0</v>
      </c>
      <c r="X2" s="12" t="s">
        <v>410</v>
      </c>
      <c r="Y2" s="12" t="s">
        <v>440</v>
      </c>
      <c r="Z2" s="12" t="n">
        <v>1</v>
      </c>
      <c r="AA2" s="12" t="n">
        <v>1</v>
      </c>
      <c r="AB2" s="12" t="n">
        <v>1</v>
      </c>
      <c r="AC2" s="12" t="n">
        <v>1</v>
      </c>
      <c r="AD2" s="12" t="n">
        <v>1</v>
      </c>
      <c r="AE2" s="12" t="n">
        <v>0</v>
      </c>
      <c r="AF2" s="12" t="n">
        <v>1</v>
      </c>
      <c r="AG2" s="12" t="n">
        <v>0</v>
      </c>
      <c r="AH2" s="12" t="n">
        <v>0</v>
      </c>
      <c r="AI2" s="12" t="n">
        <v>0</v>
      </c>
      <c r="AJ2" s="12" t="n">
        <v>1</v>
      </c>
      <c r="AK2" s="12" t="n">
        <v>0</v>
      </c>
      <c r="AL2" s="12" t="n">
        <v>0</v>
      </c>
      <c r="AM2" s="12" t="n">
        <v>0</v>
      </c>
      <c r="AN2" s="12" t="n">
        <v>0</v>
      </c>
      <c r="AO2" s="12" t="n">
        <v>0</v>
      </c>
      <c r="AP2" s="12" t="n">
        <v>1</v>
      </c>
      <c r="AQ2" s="12" t="n">
        <v>0</v>
      </c>
      <c r="AR2" s="12" t="n">
        <v>1</v>
      </c>
      <c r="AS2" s="12" t="n">
        <v>0</v>
      </c>
      <c r="AT2" s="12" t="s">
        <v>504</v>
      </c>
      <c r="AU2" s="12" t="s">
        <v>343</v>
      </c>
      <c r="AV2" s="12" t="n">
        <v>1</v>
      </c>
      <c r="AW2" s="12" t="n">
        <v>1</v>
      </c>
      <c r="AX2" s="12" t="n">
        <v>0</v>
      </c>
      <c r="AY2" s="12" t="n">
        <v>0</v>
      </c>
      <c r="AZ2" s="12" t="n">
        <v>1</v>
      </c>
      <c r="BA2" s="12" t="n">
        <v>0</v>
      </c>
      <c r="BB2" s="12" t="n">
        <v>4</v>
      </c>
      <c r="BC2" s="12" t="n">
        <v>4</v>
      </c>
      <c r="BD2" s="12" t="n">
        <v>5</v>
      </c>
      <c r="BE2" s="12" t="n">
        <v>7</v>
      </c>
      <c r="BF2" s="12" t="n">
        <v>3</v>
      </c>
      <c r="BG2" s="12" t="n">
        <v>4</v>
      </c>
      <c r="BH2" s="12" t="n">
        <v>4</v>
      </c>
      <c r="BI2" s="12" t="n">
        <v>5</v>
      </c>
      <c r="BJ2" s="12" t="n">
        <v>5</v>
      </c>
      <c r="BK2" s="12" t="n">
        <v>3</v>
      </c>
      <c r="BL2" s="12" t="n">
        <v>5</v>
      </c>
      <c r="BM2" s="12" t="n">
        <v>5</v>
      </c>
      <c r="BN2" s="12" t="n">
        <v>2</v>
      </c>
      <c r="BO2" s="12" t="n">
        <v>4</v>
      </c>
      <c r="BP2" s="12" t="n">
        <v>1</v>
      </c>
      <c r="BQ2" s="12" t="n">
        <v>3</v>
      </c>
      <c r="BR2" s="12" t="n">
        <v>6</v>
      </c>
      <c r="BS2" s="12" t="n">
        <v>5</v>
      </c>
      <c r="BT2" s="12" t="s">
        <v>612</v>
      </c>
      <c r="BU2" s="12" t="s">
        <v>613</v>
      </c>
      <c r="BV2" s="12"/>
      <c r="BW2" s="16" t="n">
        <f aca="false">IF($R2="","",INDEX(Codes!$E$2:$E$108,MATCH("B1|"&amp;$R2,Codes!$A$2:$A$108,0)))</f>
        <v>6</v>
      </c>
      <c r="BX2" s="16" t="n">
        <f aca="false">IF($Y2="","",INDEX(Codes!$E$2:$E$108,MATCH("B4|"&amp;$Y2,Codes!$A$2:$A$108,0)))</f>
        <v>5</v>
      </c>
      <c r="BY2" s="16" t="n">
        <f aca="false">IF($I2="","",INDEX(Codes!$E$2:$E$108,MATCH("A7|"&amp;$I2,Codes!$A$2:$A$108,0)))</f>
        <v>1</v>
      </c>
      <c r="BZ2" s="16" t="n">
        <f aca="false">IF($AU2="","",INDEX(Codes!$E$2:$E$108,MATCH("B8|"&amp;$AU2,Codes!$A$2:$A$108,0)))</f>
        <v>1</v>
      </c>
      <c r="CA2" s="16" t="n">
        <f aca="false">IF($H2="","",INDEX(Codes!$E$2:$E$108,MATCH("A6|"&amp;$H2,Codes!$A$2:$A$108,0)))</f>
        <v>2</v>
      </c>
      <c r="CB2" s="16" t="n">
        <f aca="false">IF($X2="","",IF($X2="phone",1,0))</f>
        <v>0</v>
      </c>
      <c r="CC2" s="16" t="n">
        <f aca="false">IF($BC2="","",8-$BC2)</f>
        <v>4</v>
      </c>
      <c r="CD2" s="12" t="s">
        <v>614</v>
      </c>
      <c r="CE2" s="12" t="n">
        <v>-1.762</v>
      </c>
      <c r="CF2" s="12" t="n">
        <v>1.714</v>
      </c>
    </row>
    <row r="3" customFormat="false" ht="15" hidden="false" customHeight="false" outlineLevel="0" collapsed="false">
      <c r="A3" s="12" t="s">
        <v>615</v>
      </c>
      <c r="B3" s="12" t="s">
        <v>616</v>
      </c>
      <c r="C3" s="12" t="s">
        <v>274</v>
      </c>
      <c r="D3" s="12" t="s">
        <v>291</v>
      </c>
      <c r="E3" s="12" t="s">
        <v>308</v>
      </c>
      <c r="F3" s="12" t="s">
        <v>324</v>
      </c>
      <c r="G3" s="12" t="s">
        <v>336</v>
      </c>
      <c r="H3" s="12" t="s">
        <v>347</v>
      </c>
      <c r="I3" s="12" t="s">
        <v>356</v>
      </c>
      <c r="J3" s="12" t="n">
        <v>0</v>
      </c>
      <c r="K3" s="12" t="n">
        <v>0</v>
      </c>
      <c r="L3" s="12" t="n">
        <v>1</v>
      </c>
      <c r="M3" s="12" t="n">
        <v>0</v>
      </c>
      <c r="N3" s="12" t="n">
        <v>0</v>
      </c>
      <c r="O3" s="12" t="n">
        <v>0</v>
      </c>
      <c r="P3" s="12" t="n">
        <v>0</v>
      </c>
      <c r="Q3" s="12" t="n">
        <v>6</v>
      </c>
      <c r="R3" s="12" t="s">
        <v>398</v>
      </c>
      <c r="S3" s="12" t="n">
        <v>1</v>
      </c>
      <c r="T3" s="12" t="n">
        <v>0</v>
      </c>
      <c r="U3" s="12" t="n">
        <v>0</v>
      </c>
      <c r="V3" s="12" t="n">
        <v>1</v>
      </c>
      <c r="W3" s="12" t="n">
        <v>0</v>
      </c>
      <c r="X3" s="12" t="s">
        <v>407</v>
      </c>
      <c r="Y3" s="12" t="s">
        <v>440</v>
      </c>
      <c r="Z3" s="12" t="n">
        <v>0</v>
      </c>
      <c r="AA3" s="12" t="n">
        <v>1</v>
      </c>
      <c r="AB3" s="12" t="n">
        <v>0</v>
      </c>
      <c r="AC3" s="12" t="n">
        <v>1</v>
      </c>
      <c r="AD3" s="12" t="n">
        <v>1</v>
      </c>
      <c r="AE3" s="12" t="n">
        <v>0</v>
      </c>
      <c r="AF3" s="12" t="n">
        <v>1</v>
      </c>
      <c r="AG3" s="12" t="n">
        <v>0</v>
      </c>
      <c r="AH3" s="12" t="n">
        <v>0</v>
      </c>
      <c r="AI3" s="12" t="n">
        <v>0</v>
      </c>
      <c r="AJ3" s="12" t="n">
        <v>0</v>
      </c>
      <c r="AK3" s="12" t="n">
        <v>0</v>
      </c>
      <c r="AL3" s="12" t="n">
        <v>0</v>
      </c>
      <c r="AM3" s="12" t="n">
        <v>0</v>
      </c>
      <c r="AN3" s="12" t="n">
        <v>0</v>
      </c>
      <c r="AO3" s="12" t="n">
        <v>0</v>
      </c>
      <c r="AP3" s="12" t="n">
        <v>0</v>
      </c>
      <c r="AQ3" s="12" t="n">
        <v>0</v>
      </c>
      <c r="AR3" s="12" t="n">
        <v>1</v>
      </c>
      <c r="AS3" s="12" t="n">
        <v>0</v>
      </c>
      <c r="AT3" s="12" t="s">
        <v>483</v>
      </c>
      <c r="AU3" s="12" t="s">
        <v>395</v>
      </c>
      <c r="AV3" s="12" t="n">
        <v>1</v>
      </c>
      <c r="AW3" s="12" t="n">
        <v>0</v>
      </c>
      <c r="AX3" s="12" t="n">
        <v>1</v>
      </c>
      <c r="AY3" s="12" t="n">
        <v>1</v>
      </c>
      <c r="AZ3" s="12" t="n">
        <v>0</v>
      </c>
      <c r="BA3" s="12" t="n">
        <v>0</v>
      </c>
      <c r="BB3" s="12" t="n">
        <v>2</v>
      </c>
      <c r="BC3" s="12" t="n">
        <v>6</v>
      </c>
      <c r="BD3" s="12" t="n">
        <v>2</v>
      </c>
      <c r="BE3" s="12" t="n">
        <v>4</v>
      </c>
      <c r="BF3" s="12" t="n">
        <v>3</v>
      </c>
      <c r="BG3" s="12" t="n">
        <v>2</v>
      </c>
      <c r="BH3" s="12" t="n">
        <v>3</v>
      </c>
      <c r="BI3" s="12" t="n">
        <v>6</v>
      </c>
      <c r="BJ3" s="12" t="n">
        <v>4</v>
      </c>
      <c r="BK3" s="12" t="n">
        <v>3</v>
      </c>
      <c r="BL3" s="12" t="n">
        <v>4</v>
      </c>
      <c r="BM3" s="12" t="n">
        <v>5</v>
      </c>
      <c r="BN3" s="12" t="n">
        <v>1</v>
      </c>
      <c r="BO3" s="12" t="n">
        <v>3</v>
      </c>
      <c r="BP3" s="12" t="n">
        <v>4</v>
      </c>
      <c r="BQ3" s="12" t="n">
        <v>6</v>
      </c>
      <c r="BR3" s="12" t="n">
        <v>2</v>
      </c>
      <c r="BS3" s="12" t="n">
        <v>5</v>
      </c>
      <c r="BT3" s="12" t="s">
        <v>617</v>
      </c>
      <c r="BU3" s="12" t="s">
        <v>618</v>
      </c>
      <c r="BV3" s="12" t="s">
        <v>619</v>
      </c>
      <c r="BW3" s="16" t="n">
        <f aca="false">IF($R3="","",INDEX(Codes!$E$2:$E$108,MATCH("B1|"&amp;$R3,Codes!$A$2:$A$108,0)))</f>
        <v>4</v>
      </c>
      <c r="BX3" s="16" t="n">
        <f aca="false">IF($Y3="","",INDEX(Codes!$E$2:$E$108,MATCH("B4|"&amp;$Y3,Codes!$A$2:$A$108,0)))</f>
        <v>5</v>
      </c>
      <c r="BY3" s="16" t="n">
        <f aca="false">IF($I3="","",INDEX(Codes!$E$2:$E$108,MATCH("A7|"&amp;$I3,Codes!$A$2:$A$108,0)))</f>
        <v>0</v>
      </c>
      <c r="BZ3" s="16" t="n">
        <f aca="false">IF($AU3="","",INDEX(Codes!$E$2:$E$108,MATCH("B8|"&amp;$AU3,Codes!$A$2:$A$108,0)))</f>
        <v>2</v>
      </c>
      <c r="CA3" s="16" t="n">
        <f aca="false">IF($H3="","",INDEX(Codes!$E$2:$E$108,MATCH("A6|"&amp;$H3,Codes!$A$2:$A$108,0)))</f>
        <v>3</v>
      </c>
      <c r="CB3" s="16" t="n">
        <f aca="false">IF($X3="","",IF($X3="phone",1,0))</f>
        <v>0</v>
      </c>
      <c r="CC3" s="16" t="n">
        <f aca="false">IF($BC3="","",8-$BC3)</f>
        <v>2</v>
      </c>
      <c r="CD3" s="12" t="s">
        <v>620</v>
      </c>
      <c r="CE3" s="12" t="n">
        <v>2.285</v>
      </c>
      <c r="CF3" s="12" t="n">
        <v>2.185</v>
      </c>
    </row>
    <row r="4" customFormat="false" ht="15" hidden="false" customHeight="false" outlineLevel="0" collapsed="false">
      <c r="A4" s="12" t="s">
        <v>621</v>
      </c>
      <c r="B4" s="12" t="s">
        <v>622</v>
      </c>
      <c r="C4" s="12" t="s">
        <v>277</v>
      </c>
      <c r="D4" s="12" t="s">
        <v>295</v>
      </c>
      <c r="E4" s="12" t="s">
        <v>305</v>
      </c>
      <c r="F4" s="12" t="s">
        <v>330</v>
      </c>
      <c r="G4" s="12" t="s">
        <v>336</v>
      </c>
      <c r="H4" s="12" t="s">
        <v>343</v>
      </c>
      <c r="I4" s="12" t="s">
        <v>356</v>
      </c>
      <c r="J4" s="12" t="n">
        <v>1</v>
      </c>
      <c r="K4" s="12" t="n">
        <v>0</v>
      </c>
      <c r="L4" s="12" t="n">
        <v>0</v>
      </c>
      <c r="M4" s="12" t="n">
        <v>0</v>
      </c>
      <c r="N4" s="12" t="n">
        <v>0</v>
      </c>
      <c r="O4" s="12" t="n">
        <v>0</v>
      </c>
      <c r="P4" s="12" t="n">
        <v>0</v>
      </c>
      <c r="Q4" s="12" t="n">
        <v>5</v>
      </c>
      <c r="R4" s="12" t="s">
        <v>401</v>
      </c>
      <c r="S4" s="12" t="n">
        <v>1</v>
      </c>
      <c r="T4" s="12" t="n">
        <v>1</v>
      </c>
      <c r="U4" s="12" t="n">
        <v>0</v>
      </c>
      <c r="V4" s="12" t="n">
        <v>0</v>
      </c>
      <c r="W4" s="12" t="n">
        <v>0</v>
      </c>
      <c r="X4" s="12" t="s">
        <v>407</v>
      </c>
      <c r="Y4" s="12" t="s">
        <v>434</v>
      </c>
      <c r="Z4" s="12" t="n">
        <v>1</v>
      </c>
      <c r="AA4" s="12" t="n">
        <v>1</v>
      </c>
      <c r="AB4" s="12" t="n">
        <v>0</v>
      </c>
      <c r="AC4" s="12" t="n">
        <v>1</v>
      </c>
      <c r="AD4" s="12" t="n">
        <v>0</v>
      </c>
      <c r="AE4" s="12" t="n">
        <v>0</v>
      </c>
      <c r="AF4" s="12" t="n">
        <v>0</v>
      </c>
      <c r="AG4" s="12" t="n">
        <v>0</v>
      </c>
      <c r="AH4" s="12" t="n">
        <v>1</v>
      </c>
      <c r="AI4" s="12" t="n">
        <v>0</v>
      </c>
      <c r="AJ4" s="12" t="n">
        <v>0</v>
      </c>
      <c r="AK4" s="12" t="n">
        <v>0</v>
      </c>
      <c r="AL4" s="12" t="n">
        <v>1</v>
      </c>
      <c r="AM4" s="12" t="n">
        <v>1</v>
      </c>
      <c r="AN4" s="12" t="n">
        <v>0</v>
      </c>
      <c r="AO4" s="12" t="n">
        <v>1</v>
      </c>
      <c r="AP4" s="12" t="n">
        <v>1</v>
      </c>
      <c r="AQ4" s="12" t="n">
        <v>1</v>
      </c>
      <c r="AR4" s="12" t="n">
        <v>1</v>
      </c>
      <c r="AS4" s="12" t="n">
        <v>0</v>
      </c>
      <c r="AT4" s="12" t="s">
        <v>480</v>
      </c>
      <c r="AU4" s="12" t="s">
        <v>395</v>
      </c>
      <c r="AV4" s="12" t="n">
        <v>0</v>
      </c>
      <c r="AW4" s="12" t="n">
        <v>1</v>
      </c>
      <c r="AX4" s="12" t="n">
        <v>1</v>
      </c>
      <c r="AY4" s="12" t="n">
        <v>1</v>
      </c>
      <c r="AZ4" s="12" t="n">
        <v>0</v>
      </c>
      <c r="BA4" s="12" t="n">
        <v>0</v>
      </c>
      <c r="BB4" s="12" t="n">
        <v>3</v>
      </c>
      <c r="BC4" s="12" t="n">
        <v>3</v>
      </c>
      <c r="BD4" s="12" t="n">
        <v>6</v>
      </c>
      <c r="BE4" s="12" t="n">
        <v>4</v>
      </c>
      <c r="BF4" s="12" t="n">
        <v>4</v>
      </c>
      <c r="BG4" s="12" t="n">
        <v>3</v>
      </c>
      <c r="BH4" s="12" t="n">
        <v>6</v>
      </c>
      <c r="BI4" s="12" t="n">
        <v>6</v>
      </c>
      <c r="BJ4" s="12" t="n">
        <v>6</v>
      </c>
      <c r="BK4" s="12" t="n">
        <v>6</v>
      </c>
      <c r="BL4" s="12" t="n">
        <v>4</v>
      </c>
      <c r="BM4" s="12" t="n">
        <v>4</v>
      </c>
      <c r="BN4" s="12" t="n">
        <v>1</v>
      </c>
      <c r="BO4" s="12" t="n">
        <v>3</v>
      </c>
      <c r="BP4" s="12" t="n">
        <v>4</v>
      </c>
      <c r="BQ4" s="12" t="n">
        <v>6</v>
      </c>
      <c r="BR4" s="12" t="n">
        <v>2</v>
      </c>
      <c r="BS4" s="12" t="n">
        <v>5</v>
      </c>
      <c r="BT4" s="12" t="s">
        <v>623</v>
      </c>
      <c r="BU4" s="12" t="s">
        <v>624</v>
      </c>
      <c r="BV4" s="12" t="s">
        <v>625</v>
      </c>
      <c r="BW4" s="16" t="n">
        <f aca="false">IF($R4="","",INDEX(Codes!$E$2:$E$108,MATCH("B1|"&amp;$R4,Codes!$A$2:$A$108,0)))</f>
        <v>5</v>
      </c>
      <c r="BX4" s="16" t="n">
        <f aca="false">IF($Y4="","",INDEX(Codes!$E$2:$E$108,MATCH("B4|"&amp;$Y4,Codes!$A$2:$A$108,0)))</f>
        <v>3</v>
      </c>
      <c r="BY4" s="16" t="n">
        <f aca="false">IF($I4="","",INDEX(Codes!$E$2:$E$108,MATCH("A7|"&amp;$I4,Codes!$A$2:$A$108,0)))</f>
        <v>0</v>
      </c>
      <c r="BZ4" s="16" t="n">
        <f aca="false">IF($AU4="","",INDEX(Codes!$E$2:$E$108,MATCH("B8|"&amp;$AU4,Codes!$A$2:$A$108,0)))</f>
        <v>2</v>
      </c>
      <c r="CA4" s="16" t="n">
        <f aca="false">IF($H4="","",INDEX(Codes!$E$2:$E$108,MATCH("A6|"&amp;$H4,Codes!$A$2:$A$108,0)))</f>
        <v>1</v>
      </c>
      <c r="CB4" s="16" t="n">
        <f aca="false">IF($X4="","",IF($X4="phone",1,0))</f>
        <v>0</v>
      </c>
      <c r="CC4" s="16" t="n">
        <f aca="false">IF($BC4="","",8-$BC4)</f>
        <v>5</v>
      </c>
      <c r="CD4" s="12" t="s">
        <v>620</v>
      </c>
      <c r="CE4" s="12" t="n">
        <v>0.003</v>
      </c>
      <c r="CF4" s="12" t="n">
        <v>2.569</v>
      </c>
    </row>
    <row r="5" customFormat="false" ht="15" hidden="false" customHeight="false" outlineLevel="0" collapsed="false">
      <c r="A5" s="12" t="s">
        <v>626</v>
      </c>
      <c r="B5" s="12" t="s">
        <v>627</v>
      </c>
      <c r="C5" s="12" t="s">
        <v>280</v>
      </c>
      <c r="D5" s="12" t="s">
        <v>297</v>
      </c>
      <c r="E5" s="12" t="s">
        <v>308</v>
      </c>
      <c r="F5" s="12" t="s">
        <v>315</v>
      </c>
      <c r="G5" s="12" t="s">
        <v>333</v>
      </c>
      <c r="H5" s="12" t="s">
        <v>347</v>
      </c>
      <c r="I5" s="12" t="s">
        <v>362</v>
      </c>
      <c r="J5" s="12" t="n">
        <v>1</v>
      </c>
      <c r="K5" s="12" t="n">
        <v>0</v>
      </c>
      <c r="L5" s="12" t="n">
        <v>0</v>
      </c>
      <c r="M5" s="12" t="n">
        <v>0</v>
      </c>
      <c r="N5" s="12" t="n">
        <v>0</v>
      </c>
      <c r="O5" s="12" t="n">
        <v>0</v>
      </c>
      <c r="P5" s="12" t="n">
        <v>0</v>
      </c>
      <c r="Q5" s="12" t="n">
        <v>3</v>
      </c>
      <c r="R5" s="12" t="s">
        <v>343</v>
      </c>
      <c r="S5" s="12" t="n">
        <v>1</v>
      </c>
      <c r="T5" s="12" t="n">
        <v>1</v>
      </c>
      <c r="U5" s="12" t="n">
        <v>0</v>
      </c>
      <c r="V5" s="12" t="n">
        <v>0</v>
      </c>
      <c r="W5" s="12" t="n">
        <v>1</v>
      </c>
      <c r="X5" s="12" t="s">
        <v>410</v>
      </c>
      <c r="Y5" s="12" t="s">
        <v>434</v>
      </c>
      <c r="Z5" s="12" t="n">
        <v>0</v>
      </c>
      <c r="AA5" s="12" t="n">
        <v>0</v>
      </c>
      <c r="AB5" s="12" t="n">
        <v>0</v>
      </c>
      <c r="AC5" s="12" t="n">
        <v>0</v>
      </c>
      <c r="AD5" s="12" t="n">
        <v>0</v>
      </c>
      <c r="AE5" s="12" t="n">
        <v>0</v>
      </c>
      <c r="AF5" s="12" t="n">
        <v>0</v>
      </c>
      <c r="AG5" s="12" t="n">
        <v>0</v>
      </c>
      <c r="AH5" s="12" t="n">
        <v>1</v>
      </c>
      <c r="AI5" s="12" t="n">
        <v>1</v>
      </c>
      <c r="AJ5" s="12" t="n">
        <v>0</v>
      </c>
      <c r="AK5" s="12" t="n">
        <v>0</v>
      </c>
      <c r="AL5" s="12" t="n">
        <v>0</v>
      </c>
      <c r="AM5" s="12" t="n">
        <v>0</v>
      </c>
      <c r="AN5" s="12" t="n">
        <v>0</v>
      </c>
      <c r="AO5" s="12" t="n">
        <v>0</v>
      </c>
      <c r="AP5" s="12" t="n">
        <v>0</v>
      </c>
      <c r="AQ5" s="12" t="n">
        <v>0</v>
      </c>
      <c r="AR5" s="12" t="n">
        <v>1</v>
      </c>
      <c r="AS5" s="12" t="n">
        <v>0</v>
      </c>
      <c r="AT5" s="12" t="s">
        <v>480</v>
      </c>
      <c r="AU5" s="12" t="s">
        <v>395</v>
      </c>
      <c r="AV5" s="12" t="n">
        <v>0</v>
      </c>
      <c r="AW5" s="12" t="n">
        <v>1</v>
      </c>
      <c r="AX5" s="12" t="n">
        <v>0</v>
      </c>
      <c r="AY5" s="12" t="n">
        <v>0</v>
      </c>
      <c r="AZ5" s="12" t="n">
        <v>1</v>
      </c>
      <c r="BA5" s="12" t="n">
        <v>0</v>
      </c>
      <c r="BB5" s="12" t="n">
        <v>3</v>
      </c>
      <c r="BC5" s="12" t="n">
        <v>5</v>
      </c>
      <c r="BD5" s="12" t="n">
        <v>2</v>
      </c>
      <c r="BE5" s="12" t="n">
        <v>4</v>
      </c>
      <c r="BF5" s="12" t="n">
        <v>3</v>
      </c>
      <c r="BG5" s="12" t="n">
        <v>2</v>
      </c>
      <c r="BH5" s="12" t="n">
        <v>4</v>
      </c>
      <c r="BI5" s="12" t="n">
        <v>2</v>
      </c>
      <c r="BJ5" s="12" t="n">
        <v>2</v>
      </c>
      <c r="BK5" s="12" t="n">
        <v>5</v>
      </c>
      <c r="BL5" s="12" t="n">
        <v>1</v>
      </c>
      <c r="BM5" s="12" t="n">
        <v>1</v>
      </c>
      <c r="BN5" s="12" t="n">
        <v>1</v>
      </c>
      <c r="BO5" s="12" t="n">
        <v>2</v>
      </c>
      <c r="BP5" s="12" t="n">
        <v>4</v>
      </c>
      <c r="BQ5" s="12" t="n">
        <v>3</v>
      </c>
      <c r="BR5" s="12" t="n">
        <v>5</v>
      </c>
      <c r="BS5" s="12" t="n">
        <v>6</v>
      </c>
      <c r="BT5" s="12" t="s">
        <v>628</v>
      </c>
      <c r="BU5" s="12" t="s">
        <v>629</v>
      </c>
      <c r="BV5" s="12" t="s">
        <v>630</v>
      </c>
      <c r="BW5" s="16" t="n">
        <f aca="false">IF($R5="","",INDEX(Codes!$E$2:$E$108,MATCH("B1|"&amp;$R5,Codes!$A$2:$A$108,0)))</f>
        <v>2</v>
      </c>
      <c r="BX5" s="16" t="n">
        <f aca="false">IF($Y5="","",INDEX(Codes!$E$2:$E$108,MATCH("B4|"&amp;$Y5,Codes!$A$2:$A$108,0)))</f>
        <v>3</v>
      </c>
      <c r="BY5" s="16" t="n">
        <f aca="false">IF($I5="","",INDEX(Codes!$E$2:$E$108,MATCH("A7|"&amp;$I5,Codes!$A$2:$A$108,0)))</f>
        <v>2</v>
      </c>
      <c r="BZ5" s="16" t="n">
        <f aca="false">IF($AU5="","",INDEX(Codes!$E$2:$E$108,MATCH("B8|"&amp;$AU5,Codes!$A$2:$A$108,0)))</f>
        <v>2</v>
      </c>
      <c r="CA5" s="16" t="n">
        <f aca="false">IF($H5="","",INDEX(Codes!$E$2:$E$108,MATCH("A6|"&amp;$H5,Codes!$A$2:$A$108,0)))</f>
        <v>3</v>
      </c>
      <c r="CB5" s="16" t="n">
        <f aca="false">IF($X5="","",IF($X5="phone",1,0))</f>
        <v>0</v>
      </c>
      <c r="CC5" s="16" t="n">
        <f aca="false">IF($BC5="","",8-$BC5)</f>
        <v>3</v>
      </c>
      <c r="CD5" s="12" t="s">
        <v>631</v>
      </c>
      <c r="CE5" s="12" t="n">
        <v>3.71</v>
      </c>
      <c r="CF5" s="12" t="n">
        <v>-2.842</v>
      </c>
    </row>
    <row r="6" customFormat="false" ht="15" hidden="false" customHeight="false" outlineLevel="0" collapsed="false">
      <c r="A6" s="12" t="s">
        <v>632</v>
      </c>
      <c r="B6" s="12" t="s">
        <v>633</v>
      </c>
      <c r="C6" s="12" t="s">
        <v>274</v>
      </c>
      <c r="D6" s="12" t="s">
        <v>291</v>
      </c>
      <c r="E6" s="12" t="s">
        <v>305</v>
      </c>
      <c r="F6" s="12" t="s">
        <v>330</v>
      </c>
      <c r="G6" s="12" t="s">
        <v>333</v>
      </c>
      <c r="H6" s="12" t="s">
        <v>345</v>
      </c>
      <c r="I6" s="12" t="s">
        <v>356</v>
      </c>
      <c r="J6" s="12" t="n">
        <v>1</v>
      </c>
      <c r="K6" s="12" t="n">
        <v>0</v>
      </c>
      <c r="L6" s="12" t="n">
        <v>0</v>
      </c>
      <c r="M6" s="12" t="n">
        <v>0</v>
      </c>
      <c r="N6" s="12" t="n">
        <v>0</v>
      </c>
      <c r="O6" s="12" t="n">
        <v>0</v>
      </c>
      <c r="P6" s="12" t="n">
        <v>0</v>
      </c>
      <c r="Q6" s="12" t="n">
        <v>6</v>
      </c>
      <c r="R6" s="12" t="s">
        <v>398</v>
      </c>
      <c r="S6" s="12" t="n">
        <v>1</v>
      </c>
      <c r="T6" s="12" t="n">
        <v>0</v>
      </c>
      <c r="U6" s="12" t="n">
        <v>0</v>
      </c>
      <c r="V6" s="12" t="n">
        <v>0</v>
      </c>
      <c r="W6" s="12" t="n">
        <v>1</v>
      </c>
      <c r="X6" s="12" t="s">
        <v>407</v>
      </c>
      <c r="Y6" s="12" t="s">
        <v>440</v>
      </c>
      <c r="Z6" s="12" t="n">
        <v>0</v>
      </c>
      <c r="AA6" s="12" t="n">
        <v>1</v>
      </c>
      <c r="AB6" s="12" t="n">
        <v>1</v>
      </c>
      <c r="AC6" s="12" t="n">
        <v>1</v>
      </c>
      <c r="AD6" s="12" t="n">
        <v>1</v>
      </c>
      <c r="AE6" s="12" t="n">
        <v>1</v>
      </c>
      <c r="AF6" s="12" t="n">
        <v>1</v>
      </c>
      <c r="AG6" s="12" t="n">
        <v>0</v>
      </c>
      <c r="AH6" s="12" t="n">
        <v>1</v>
      </c>
      <c r="AI6" s="12" t="n">
        <v>1</v>
      </c>
      <c r="AJ6" s="12" t="n">
        <v>1</v>
      </c>
      <c r="AK6" s="12" t="n">
        <v>0</v>
      </c>
      <c r="AL6" s="12" t="n">
        <v>1</v>
      </c>
      <c r="AM6" s="12" t="n">
        <v>0</v>
      </c>
      <c r="AN6" s="12" t="n">
        <v>0</v>
      </c>
      <c r="AO6" s="12" t="n">
        <v>1</v>
      </c>
      <c r="AP6" s="12" t="n">
        <v>0</v>
      </c>
      <c r="AQ6" s="12" t="n">
        <v>0</v>
      </c>
      <c r="AR6" s="12" t="n">
        <v>1</v>
      </c>
      <c r="AS6" s="12" t="n">
        <v>0</v>
      </c>
      <c r="AT6" s="12" t="s">
        <v>504</v>
      </c>
      <c r="AU6" s="12" t="s">
        <v>343</v>
      </c>
      <c r="AV6" s="12" t="n">
        <v>0</v>
      </c>
      <c r="AW6" s="12" t="n">
        <v>1</v>
      </c>
      <c r="AX6" s="12" t="n">
        <v>0</v>
      </c>
      <c r="AY6" s="12" t="n">
        <v>1</v>
      </c>
      <c r="AZ6" s="12" t="n">
        <v>0</v>
      </c>
      <c r="BA6" s="12" t="n">
        <v>0</v>
      </c>
      <c r="BB6" s="12" t="n">
        <v>3</v>
      </c>
      <c r="BC6" s="12" t="n">
        <v>6</v>
      </c>
      <c r="BD6" s="12" t="n">
        <v>3</v>
      </c>
      <c r="BE6" s="12" t="n">
        <v>5</v>
      </c>
      <c r="BF6" s="12" t="n">
        <v>4</v>
      </c>
      <c r="BG6" s="12" t="n">
        <v>2</v>
      </c>
      <c r="BH6" s="12" t="n">
        <v>5</v>
      </c>
      <c r="BI6" s="12" t="n">
        <v>4</v>
      </c>
      <c r="BJ6" s="12" t="n">
        <v>5</v>
      </c>
      <c r="BK6" s="12" t="n">
        <v>4</v>
      </c>
      <c r="BL6" s="12" t="n">
        <v>2</v>
      </c>
      <c r="BM6" s="12" t="n">
        <v>5</v>
      </c>
      <c r="BN6" s="12" t="n">
        <v>3</v>
      </c>
      <c r="BO6" s="12" t="n">
        <v>2</v>
      </c>
      <c r="BP6" s="12" t="n">
        <v>4</v>
      </c>
      <c r="BQ6" s="12" t="n">
        <v>5</v>
      </c>
      <c r="BR6" s="12" t="n">
        <v>1</v>
      </c>
      <c r="BS6" s="12" t="n">
        <v>6</v>
      </c>
      <c r="BT6" s="12" t="s">
        <v>634</v>
      </c>
      <c r="BU6" s="12"/>
      <c r="BV6" s="12"/>
      <c r="BW6" s="16" t="n">
        <f aca="false">IF($R6="","",INDEX(Codes!$E$2:$E$108,MATCH("B1|"&amp;$R6,Codes!$A$2:$A$108,0)))</f>
        <v>4</v>
      </c>
      <c r="BX6" s="16" t="n">
        <f aca="false">IF($Y6="","",INDEX(Codes!$E$2:$E$108,MATCH("B4|"&amp;$Y6,Codes!$A$2:$A$108,0)))</f>
        <v>5</v>
      </c>
      <c r="BY6" s="16" t="n">
        <f aca="false">IF($I6="","",INDEX(Codes!$E$2:$E$108,MATCH("A7|"&amp;$I6,Codes!$A$2:$A$108,0)))</f>
        <v>0</v>
      </c>
      <c r="BZ6" s="16" t="n">
        <f aca="false">IF($AU6="","",INDEX(Codes!$E$2:$E$108,MATCH("B8|"&amp;$AU6,Codes!$A$2:$A$108,0)))</f>
        <v>1</v>
      </c>
      <c r="CA6" s="16" t="n">
        <f aca="false">IF($H6="","",INDEX(Codes!$E$2:$E$108,MATCH("A6|"&amp;$H6,Codes!$A$2:$A$108,0)))</f>
        <v>2</v>
      </c>
      <c r="CB6" s="16" t="n">
        <f aca="false">IF($X6="","",IF($X6="phone",1,0))</f>
        <v>0</v>
      </c>
      <c r="CC6" s="16" t="n">
        <f aca="false">IF($BC6="","",8-$BC6)</f>
        <v>2</v>
      </c>
      <c r="CD6" s="12" t="s">
        <v>620</v>
      </c>
      <c r="CE6" s="12" t="n">
        <v>1.942</v>
      </c>
      <c r="CF6" s="12" t="n">
        <v>1.078</v>
      </c>
    </row>
    <row r="7" customFormat="false" ht="15" hidden="false" customHeight="false" outlineLevel="0" collapsed="false">
      <c r="A7" s="12" t="s">
        <v>635</v>
      </c>
      <c r="B7" s="12" t="s">
        <v>636</v>
      </c>
      <c r="C7" s="12" t="s">
        <v>274</v>
      </c>
      <c r="D7" s="12" t="s">
        <v>293</v>
      </c>
      <c r="E7" s="12" t="s">
        <v>308</v>
      </c>
      <c r="F7" s="12" t="s">
        <v>318</v>
      </c>
      <c r="G7" s="12" t="s">
        <v>339</v>
      </c>
      <c r="H7" s="12" t="s">
        <v>347</v>
      </c>
      <c r="I7" s="12" t="s">
        <v>362</v>
      </c>
      <c r="J7" s="12" t="n">
        <v>1</v>
      </c>
      <c r="K7" s="12" t="n">
        <v>0</v>
      </c>
      <c r="L7" s="12" t="n">
        <v>0</v>
      </c>
      <c r="M7" s="12" t="n">
        <v>0</v>
      </c>
      <c r="N7" s="12" t="n">
        <v>0</v>
      </c>
      <c r="O7" s="12" t="n">
        <v>0</v>
      </c>
      <c r="P7" s="12" t="n">
        <v>0</v>
      </c>
      <c r="Q7" s="12" t="n">
        <v>6</v>
      </c>
      <c r="R7" s="12" t="s">
        <v>401</v>
      </c>
      <c r="S7" s="12" t="n">
        <v>1</v>
      </c>
      <c r="T7" s="12" t="n">
        <v>0</v>
      </c>
      <c r="U7" s="12" t="n">
        <v>0</v>
      </c>
      <c r="V7" s="12" t="n">
        <v>0</v>
      </c>
      <c r="W7" s="12" t="n">
        <v>0</v>
      </c>
      <c r="X7" s="12" t="s">
        <v>407</v>
      </c>
      <c r="Y7" s="12" t="s">
        <v>440</v>
      </c>
      <c r="Z7" s="12" t="n">
        <v>1</v>
      </c>
      <c r="AA7" s="12" t="n">
        <v>1</v>
      </c>
      <c r="AB7" s="12" t="n">
        <v>0</v>
      </c>
      <c r="AC7" s="12" t="n">
        <v>1</v>
      </c>
      <c r="AD7" s="12" t="n">
        <v>0</v>
      </c>
      <c r="AE7" s="12" t="n">
        <v>0</v>
      </c>
      <c r="AF7" s="12" t="n">
        <v>0</v>
      </c>
      <c r="AG7" s="12" t="n">
        <v>0</v>
      </c>
      <c r="AH7" s="12" t="n">
        <v>1</v>
      </c>
      <c r="AI7" s="12" t="n">
        <v>0</v>
      </c>
      <c r="AJ7" s="12" t="n">
        <v>0</v>
      </c>
      <c r="AK7" s="12" t="n">
        <v>0</v>
      </c>
      <c r="AL7" s="12" t="n">
        <v>0</v>
      </c>
      <c r="AM7" s="12" t="n">
        <v>1</v>
      </c>
      <c r="AN7" s="12" t="n">
        <v>0</v>
      </c>
      <c r="AO7" s="12" t="n">
        <v>0</v>
      </c>
      <c r="AP7" s="12" t="n">
        <v>1</v>
      </c>
      <c r="AQ7" s="12" t="n">
        <v>0</v>
      </c>
      <c r="AR7" s="12" t="n">
        <v>0</v>
      </c>
      <c r="AS7" s="12" t="n">
        <v>0</v>
      </c>
      <c r="AT7" s="12" t="s">
        <v>507</v>
      </c>
      <c r="AU7" s="12" t="s">
        <v>395</v>
      </c>
      <c r="AV7" s="12" t="n">
        <v>0</v>
      </c>
      <c r="AW7" s="12" t="n">
        <v>1</v>
      </c>
      <c r="AX7" s="12" t="n">
        <v>1</v>
      </c>
      <c r="AY7" s="12" t="n">
        <v>1</v>
      </c>
      <c r="AZ7" s="12" t="n">
        <v>0</v>
      </c>
      <c r="BA7" s="12" t="n">
        <v>0</v>
      </c>
      <c r="BB7" s="12" t="n">
        <v>3</v>
      </c>
      <c r="BC7" s="12" t="n">
        <v>5</v>
      </c>
      <c r="BD7" s="12" t="n">
        <v>4</v>
      </c>
      <c r="BE7" s="12" t="n">
        <v>4</v>
      </c>
      <c r="BF7" s="12" t="n">
        <v>3</v>
      </c>
      <c r="BG7" s="12" t="n">
        <v>4</v>
      </c>
      <c r="BH7" s="12" t="n">
        <v>4</v>
      </c>
      <c r="BI7" s="12" t="n">
        <v>5</v>
      </c>
      <c r="BJ7" s="12" t="n">
        <v>6</v>
      </c>
      <c r="BK7" s="12" t="n">
        <v>5</v>
      </c>
      <c r="BL7" s="12" t="n">
        <v>4</v>
      </c>
      <c r="BM7" s="12" t="n">
        <v>4</v>
      </c>
      <c r="BN7" s="12" t="n">
        <v>1</v>
      </c>
      <c r="BO7" s="12" t="n">
        <v>3</v>
      </c>
      <c r="BP7" s="12" t="n">
        <v>4</v>
      </c>
      <c r="BQ7" s="12" t="n">
        <v>5</v>
      </c>
      <c r="BR7" s="12" t="n">
        <v>2</v>
      </c>
      <c r="BS7" s="12" t="n">
        <v>6</v>
      </c>
      <c r="BT7" s="12" t="s">
        <v>637</v>
      </c>
      <c r="BU7" s="12" t="s">
        <v>638</v>
      </c>
      <c r="BV7" s="12" t="s">
        <v>619</v>
      </c>
      <c r="BW7" s="16" t="n">
        <f aca="false">IF($R7="","",INDEX(Codes!$E$2:$E$108,MATCH("B1|"&amp;$R7,Codes!$A$2:$A$108,0)))</f>
        <v>5</v>
      </c>
      <c r="BX7" s="16" t="n">
        <f aca="false">IF($Y7="","",INDEX(Codes!$E$2:$E$108,MATCH("B4|"&amp;$Y7,Codes!$A$2:$A$108,0)))</f>
        <v>5</v>
      </c>
      <c r="BY7" s="16" t="n">
        <f aca="false">IF($I7="","",INDEX(Codes!$E$2:$E$108,MATCH("A7|"&amp;$I7,Codes!$A$2:$A$108,0)))</f>
        <v>2</v>
      </c>
      <c r="BZ7" s="16" t="n">
        <f aca="false">IF($AU7="","",INDEX(Codes!$E$2:$E$108,MATCH("B8|"&amp;$AU7,Codes!$A$2:$A$108,0)))</f>
        <v>2</v>
      </c>
      <c r="CA7" s="16" t="n">
        <f aca="false">IF($H7="","",INDEX(Codes!$E$2:$E$108,MATCH("A6|"&amp;$H7,Codes!$A$2:$A$108,0)))</f>
        <v>3</v>
      </c>
      <c r="CB7" s="16" t="n">
        <f aca="false">IF($X7="","",IF($X7="phone",1,0))</f>
        <v>0</v>
      </c>
      <c r="CC7" s="16" t="n">
        <f aca="false">IF($BC7="","",8-$BC7)</f>
        <v>3</v>
      </c>
      <c r="CD7" s="12" t="s">
        <v>620</v>
      </c>
      <c r="CE7" s="12" t="n">
        <v>0.922</v>
      </c>
      <c r="CF7" s="12" t="n">
        <v>1.664</v>
      </c>
    </row>
    <row r="8" customFormat="false" ht="15" hidden="false" customHeight="false" outlineLevel="0" collapsed="false">
      <c r="A8" s="12" t="s">
        <v>639</v>
      </c>
      <c r="B8" s="12" t="s">
        <v>640</v>
      </c>
      <c r="C8" s="12" t="s">
        <v>271</v>
      </c>
      <c r="D8" s="12" t="s">
        <v>289</v>
      </c>
      <c r="E8" s="12" t="s">
        <v>308</v>
      </c>
      <c r="F8" s="12" t="s">
        <v>315</v>
      </c>
      <c r="G8" s="12" t="s">
        <v>333</v>
      </c>
      <c r="H8" s="12" t="s">
        <v>351</v>
      </c>
      <c r="I8" s="12" t="s">
        <v>359</v>
      </c>
      <c r="J8" s="12" t="n">
        <v>0</v>
      </c>
      <c r="K8" s="12" t="n">
        <v>0</v>
      </c>
      <c r="L8" s="12" t="n">
        <v>1</v>
      </c>
      <c r="M8" s="12" t="n">
        <v>0</v>
      </c>
      <c r="N8" s="12" t="n">
        <v>0</v>
      </c>
      <c r="O8" s="12" t="n">
        <v>0</v>
      </c>
      <c r="P8" s="12" t="n">
        <v>0</v>
      </c>
      <c r="Q8" s="12" t="n">
        <v>5</v>
      </c>
      <c r="R8" s="12" t="s">
        <v>404</v>
      </c>
      <c r="S8" s="12" t="n">
        <v>1</v>
      </c>
      <c r="T8" s="12" t="n">
        <v>0</v>
      </c>
      <c r="U8" s="12" t="n">
        <v>0</v>
      </c>
      <c r="V8" s="12" t="n">
        <v>1</v>
      </c>
      <c r="W8" s="12" t="n">
        <v>0</v>
      </c>
      <c r="X8" s="12" t="s">
        <v>424</v>
      </c>
      <c r="Y8" s="12" t="s">
        <v>428</v>
      </c>
      <c r="Z8" s="12" t="n">
        <v>1</v>
      </c>
      <c r="AA8" s="12" t="n">
        <v>1</v>
      </c>
      <c r="AB8" s="12" t="n">
        <v>1</v>
      </c>
      <c r="AC8" s="12" t="n">
        <v>1</v>
      </c>
      <c r="AD8" s="12" t="n">
        <v>0</v>
      </c>
      <c r="AE8" s="12" t="n">
        <v>1</v>
      </c>
      <c r="AF8" s="12" t="n">
        <v>0</v>
      </c>
      <c r="AG8" s="12" t="n">
        <v>0</v>
      </c>
      <c r="AH8" s="12" t="n">
        <v>0</v>
      </c>
      <c r="AI8" s="12" t="n">
        <v>1</v>
      </c>
      <c r="AJ8" s="12" t="n">
        <v>0</v>
      </c>
      <c r="AK8" s="12" t="n">
        <v>0</v>
      </c>
      <c r="AL8" s="12" t="n">
        <v>0</v>
      </c>
      <c r="AM8" s="12" t="n">
        <v>0</v>
      </c>
      <c r="AN8" s="12" t="n">
        <v>1</v>
      </c>
      <c r="AO8" s="12" t="n">
        <v>0</v>
      </c>
      <c r="AP8" s="12" t="n">
        <v>0</v>
      </c>
      <c r="AQ8" s="12" t="n">
        <v>0</v>
      </c>
      <c r="AR8" s="12" t="n">
        <v>0</v>
      </c>
      <c r="AS8" s="12" t="n">
        <v>0</v>
      </c>
      <c r="AT8" s="12" t="s">
        <v>504</v>
      </c>
      <c r="AU8" s="12" t="s">
        <v>395</v>
      </c>
      <c r="AV8" s="12" t="n">
        <v>0</v>
      </c>
      <c r="AW8" s="12" t="n">
        <v>0</v>
      </c>
      <c r="AX8" s="12" t="n">
        <v>1</v>
      </c>
      <c r="AY8" s="12" t="n">
        <v>1</v>
      </c>
      <c r="AZ8" s="12" t="n">
        <v>0</v>
      </c>
      <c r="BA8" s="12" t="n">
        <v>0</v>
      </c>
      <c r="BB8" s="12" t="n">
        <v>3</v>
      </c>
      <c r="BC8" s="12" t="n">
        <v>5</v>
      </c>
      <c r="BD8" s="12" t="n">
        <v>5</v>
      </c>
      <c r="BE8" s="12" t="n">
        <v>5</v>
      </c>
      <c r="BF8" s="12" t="n">
        <v>3</v>
      </c>
      <c r="BG8" s="12" t="n">
        <v>4</v>
      </c>
      <c r="BH8" s="12" t="n">
        <v>2</v>
      </c>
      <c r="BI8" s="12" t="n">
        <v>4</v>
      </c>
      <c r="BJ8" s="12" t="n">
        <v>5</v>
      </c>
      <c r="BK8" s="12" t="n">
        <v>4</v>
      </c>
      <c r="BL8" s="12" t="n">
        <v>3</v>
      </c>
      <c r="BM8" s="12" t="n">
        <v>4</v>
      </c>
      <c r="BN8" s="12" t="n">
        <v>3</v>
      </c>
      <c r="BO8" s="12" t="n">
        <v>1</v>
      </c>
      <c r="BP8" s="12" t="n">
        <v>2</v>
      </c>
      <c r="BQ8" s="12" t="n">
        <v>4</v>
      </c>
      <c r="BR8" s="12" t="n">
        <v>5</v>
      </c>
      <c r="BS8" s="12" t="n">
        <v>6</v>
      </c>
      <c r="BT8" s="12" t="s">
        <v>641</v>
      </c>
      <c r="BU8" s="12" t="s">
        <v>642</v>
      </c>
      <c r="BV8" s="12"/>
      <c r="BW8" s="16" t="n">
        <f aca="false">IF($R8="","",INDEX(Codes!$E$2:$E$108,MATCH("B1|"&amp;$R8,Codes!$A$2:$A$108,0)))</f>
        <v>6</v>
      </c>
      <c r="BX8" s="16" t="n">
        <f aca="false">IF($Y8="","",INDEX(Codes!$E$2:$E$108,MATCH("B4|"&amp;$Y8,Codes!$A$2:$A$108,0)))</f>
        <v>1</v>
      </c>
      <c r="BY8" s="16" t="n">
        <f aca="false">IF($I8="","",INDEX(Codes!$E$2:$E$108,MATCH("A7|"&amp;$I8,Codes!$A$2:$A$108,0)))</f>
        <v>1</v>
      </c>
      <c r="BZ8" s="16" t="n">
        <f aca="false">IF($AU8="","",INDEX(Codes!$E$2:$E$108,MATCH("B8|"&amp;$AU8,Codes!$A$2:$A$108,0)))</f>
        <v>2</v>
      </c>
      <c r="CA8" s="16" t="n">
        <f aca="false">IF($H8="","",INDEX(Codes!$E$2:$E$108,MATCH("A6|"&amp;$H8,Codes!$A$2:$A$108,0)))</f>
        <v>5</v>
      </c>
      <c r="CB8" s="16" t="n">
        <f aca="false">IF($X8="","",IF($X8="phone",1,0))</f>
        <v>1</v>
      </c>
      <c r="CC8" s="16" t="n">
        <f aca="false">IF($BC8="","",8-$BC8)</f>
        <v>3</v>
      </c>
      <c r="CD8" s="12" t="s">
        <v>643</v>
      </c>
      <c r="CE8" s="12" t="n">
        <v>-1.973</v>
      </c>
      <c r="CF8" s="12" t="n">
        <v>-2.043</v>
      </c>
    </row>
    <row r="9" customFormat="false" ht="15" hidden="false" customHeight="false" outlineLevel="0" collapsed="false">
      <c r="A9" s="12" t="s">
        <v>644</v>
      </c>
      <c r="B9" s="12" t="s">
        <v>645</v>
      </c>
      <c r="C9" s="12" t="s">
        <v>271</v>
      </c>
      <c r="D9" s="12" t="s">
        <v>293</v>
      </c>
      <c r="E9" s="12" t="s">
        <v>308</v>
      </c>
      <c r="F9" s="12" t="s">
        <v>315</v>
      </c>
      <c r="G9" s="12" t="s">
        <v>333</v>
      </c>
      <c r="H9" s="12" t="s">
        <v>351</v>
      </c>
      <c r="I9" s="12" t="s">
        <v>365</v>
      </c>
      <c r="J9" s="12" t="n">
        <v>1</v>
      </c>
      <c r="K9" s="12" t="n">
        <v>0</v>
      </c>
      <c r="L9" s="12" t="n">
        <v>0</v>
      </c>
      <c r="M9" s="12" t="n">
        <v>0</v>
      </c>
      <c r="N9" s="12" t="n">
        <v>0</v>
      </c>
      <c r="O9" s="12" t="n">
        <v>0</v>
      </c>
      <c r="P9" s="12" t="n">
        <v>0</v>
      </c>
      <c r="Q9" s="12" t="n">
        <v>4</v>
      </c>
      <c r="R9" s="12" t="s">
        <v>398</v>
      </c>
      <c r="S9" s="12" t="n">
        <v>1</v>
      </c>
      <c r="T9" s="12" t="n">
        <v>0</v>
      </c>
      <c r="U9" s="12" t="n">
        <v>1</v>
      </c>
      <c r="V9" s="12" t="n">
        <v>1</v>
      </c>
      <c r="W9" s="12" t="n">
        <v>0</v>
      </c>
      <c r="X9" s="12" t="s">
        <v>407</v>
      </c>
      <c r="Y9" s="12" t="s">
        <v>434</v>
      </c>
      <c r="Z9" s="12" t="n">
        <v>1</v>
      </c>
      <c r="AA9" s="12" t="n">
        <v>1</v>
      </c>
      <c r="AB9" s="12" t="n">
        <v>1</v>
      </c>
      <c r="AC9" s="12" t="n">
        <v>1</v>
      </c>
      <c r="AD9" s="12" t="n">
        <v>1</v>
      </c>
      <c r="AE9" s="12" t="n">
        <v>0</v>
      </c>
      <c r="AF9" s="12" t="n">
        <v>0</v>
      </c>
      <c r="AG9" s="12" t="n">
        <v>0</v>
      </c>
      <c r="AH9" s="12" t="n">
        <v>1</v>
      </c>
      <c r="AI9" s="12" t="n">
        <v>1</v>
      </c>
      <c r="AJ9" s="12" t="n">
        <v>0</v>
      </c>
      <c r="AK9" s="12" t="n">
        <v>0</v>
      </c>
      <c r="AL9" s="12" t="n">
        <v>1</v>
      </c>
      <c r="AM9" s="12" t="n">
        <v>1</v>
      </c>
      <c r="AN9" s="12" t="n">
        <v>0</v>
      </c>
      <c r="AO9" s="12" t="n">
        <v>0</v>
      </c>
      <c r="AP9" s="12" t="n">
        <v>1</v>
      </c>
      <c r="AQ9" s="12" t="n">
        <v>0</v>
      </c>
      <c r="AR9" s="12" t="n">
        <v>0</v>
      </c>
      <c r="AS9" s="12" t="n">
        <v>0</v>
      </c>
      <c r="AT9" s="12" t="s">
        <v>480</v>
      </c>
      <c r="AU9" s="12" t="s">
        <v>343</v>
      </c>
      <c r="AV9" s="12" t="n">
        <v>0</v>
      </c>
      <c r="AW9" s="12" t="n">
        <v>1</v>
      </c>
      <c r="AX9" s="12" t="n">
        <v>0</v>
      </c>
      <c r="AY9" s="12" t="n">
        <v>1</v>
      </c>
      <c r="AZ9" s="12" t="n">
        <v>1</v>
      </c>
      <c r="BA9" s="12" t="n">
        <v>0</v>
      </c>
      <c r="BB9" s="12" t="n">
        <v>5</v>
      </c>
      <c r="BC9" s="12" t="n">
        <v>3</v>
      </c>
      <c r="BD9" s="12" t="n">
        <v>3</v>
      </c>
      <c r="BE9" s="12" t="n">
        <v>3</v>
      </c>
      <c r="BF9" s="12" t="n">
        <v>5</v>
      </c>
      <c r="BG9" s="12" t="n">
        <v>3</v>
      </c>
      <c r="BH9" s="12" t="n">
        <v>6</v>
      </c>
      <c r="BI9" s="12" t="n">
        <v>6</v>
      </c>
      <c r="BJ9" s="12" t="n">
        <v>5</v>
      </c>
      <c r="BK9" s="12" t="n">
        <v>3</v>
      </c>
      <c r="BL9" s="12" t="n">
        <v>6</v>
      </c>
      <c r="BM9" s="12" t="n">
        <v>4</v>
      </c>
      <c r="BN9" s="12" t="n">
        <v>3</v>
      </c>
      <c r="BO9" s="12" t="n">
        <v>2</v>
      </c>
      <c r="BP9" s="12" t="n">
        <v>4</v>
      </c>
      <c r="BQ9" s="12" t="n">
        <v>5</v>
      </c>
      <c r="BR9" s="12" t="n">
        <v>1</v>
      </c>
      <c r="BS9" s="12" t="n">
        <v>6</v>
      </c>
      <c r="BT9" s="12" t="s">
        <v>646</v>
      </c>
      <c r="BU9" s="12" t="s">
        <v>647</v>
      </c>
      <c r="BV9" s="12"/>
      <c r="BW9" s="16" t="n">
        <f aca="false">IF($R9="","",INDEX(Codes!$E$2:$E$108,MATCH("B1|"&amp;$R9,Codes!$A$2:$A$108,0)))</f>
        <v>4</v>
      </c>
      <c r="BX9" s="16" t="n">
        <f aca="false">IF($Y9="","",INDEX(Codes!$E$2:$E$108,MATCH("B4|"&amp;$Y9,Codes!$A$2:$A$108,0)))</f>
        <v>3</v>
      </c>
      <c r="BY9" s="16" t="n">
        <f aca="false">IF($I9="","",INDEX(Codes!$E$2:$E$108,MATCH("A7|"&amp;$I9,Codes!$A$2:$A$108,0)))</f>
        <v>3</v>
      </c>
      <c r="BZ9" s="16" t="n">
        <f aca="false">IF($AU9="","",INDEX(Codes!$E$2:$E$108,MATCH("B8|"&amp;$AU9,Codes!$A$2:$A$108,0)))</f>
        <v>1</v>
      </c>
      <c r="CA9" s="16" t="n">
        <f aca="false">IF($H9="","",INDEX(Codes!$E$2:$E$108,MATCH("A6|"&amp;$H9,Codes!$A$2:$A$108,0)))</f>
        <v>5</v>
      </c>
      <c r="CB9" s="16" t="n">
        <f aca="false">IF($X9="","",IF($X9="phone",1,0))</f>
        <v>0</v>
      </c>
      <c r="CC9" s="16" t="n">
        <f aca="false">IF($BC9="","",8-$BC9)</f>
        <v>5</v>
      </c>
      <c r="CD9" s="12" t="s">
        <v>648</v>
      </c>
      <c r="CE9" s="12" t="n">
        <v>0.031</v>
      </c>
      <c r="CF9" s="12" t="n">
        <v>0.529</v>
      </c>
    </row>
    <row r="10" customFormat="false" ht="15" hidden="false" customHeight="false" outlineLevel="0" collapsed="false">
      <c r="A10" s="12" t="s">
        <v>649</v>
      </c>
      <c r="B10" s="12" t="s">
        <v>650</v>
      </c>
      <c r="C10" s="12" t="s">
        <v>280</v>
      </c>
      <c r="D10" s="12" t="s">
        <v>297</v>
      </c>
      <c r="E10" s="12" t="s">
        <v>308</v>
      </c>
      <c r="F10" s="12" t="s">
        <v>318</v>
      </c>
      <c r="G10" s="12" t="s">
        <v>339</v>
      </c>
      <c r="H10" s="12" t="s">
        <v>343</v>
      </c>
      <c r="I10" s="12" t="s">
        <v>362</v>
      </c>
      <c r="J10" s="12" t="n">
        <v>0</v>
      </c>
      <c r="K10" s="12" t="n">
        <v>0</v>
      </c>
      <c r="L10" s="12" t="n">
        <v>1</v>
      </c>
      <c r="M10" s="12" t="n">
        <v>0</v>
      </c>
      <c r="N10" s="12" t="n">
        <v>0</v>
      </c>
      <c r="O10" s="12" t="n">
        <v>0</v>
      </c>
      <c r="P10" s="12" t="n">
        <v>0</v>
      </c>
      <c r="Q10" s="12" t="n">
        <v>3</v>
      </c>
      <c r="R10" s="12" t="s">
        <v>343</v>
      </c>
      <c r="S10" s="12" t="n">
        <v>1</v>
      </c>
      <c r="T10" s="12" t="n">
        <v>0</v>
      </c>
      <c r="U10" s="12" t="n">
        <v>1</v>
      </c>
      <c r="V10" s="12" t="n">
        <v>0</v>
      </c>
      <c r="W10" s="12" t="n">
        <v>0</v>
      </c>
      <c r="X10" s="12" t="s">
        <v>410</v>
      </c>
      <c r="Y10" s="12" t="s">
        <v>434</v>
      </c>
      <c r="Z10" s="12" t="n">
        <v>1</v>
      </c>
      <c r="AA10" s="12" t="n">
        <v>0</v>
      </c>
      <c r="AB10" s="12" t="n">
        <v>0</v>
      </c>
      <c r="AC10" s="12" t="n">
        <v>1</v>
      </c>
      <c r="AD10" s="12" t="n">
        <v>0</v>
      </c>
      <c r="AE10" s="12" t="n">
        <v>0</v>
      </c>
      <c r="AF10" s="12" t="n">
        <v>0</v>
      </c>
      <c r="AG10" s="12" t="n">
        <v>0</v>
      </c>
      <c r="AH10" s="12" t="n">
        <v>0</v>
      </c>
      <c r="AI10" s="12" t="n">
        <v>0</v>
      </c>
      <c r="AJ10" s="12" t="n">
        <v>0</v>
      </c>
      <c r="AK10" s="12" t="n">
        <v>0</v>
      </c>
      <c r="AL10" s="12" t="n">
        <v>0</v>
      </c>
      <c r="AM10" s="12" t="n">
        <v>0</v>
      </c>
      <c r="AN10" s="12" t="n">
        <v>0</v>
      </c>
      <c r="AO10" s="12" t="n">
        <v>0</v>
      </c>
      <c r="AP10" s="12" t="n">
        <v>1</v>
      </c>
      <c r="AQ10" s="12" t="n">
        <v>1</v>
      </c>
      <c r="AR10" s="12" t="n">
        <v>1</v>
      </c>
      <c r="AS10" s="12" t="n">
        <v>0</v>
      </c>
      <c r="AT10" s="12" t="s">
        <v>480</v>
      </c>
      <c r="AU10" s="12" t="s">
        <v>395</v>
      </c>
      <c r="AV10" s="12" t="n">
        <v>0</v>
      </c>
      <c r="AW10" s="12" t="n">
        <v>1</v>
      </c>
      <c r="AX10" s="12" t="n">
        <v>0</v>
      </c>
      <c r="AY10" s="12" t="n">
        <v>0</v>
      </c>
      <c r="AZ10" s="12" t="n">
        <v>1</v>
      </c>
      <c r="BA10" s="12" t="n">
        <v>0</v>
      </c>
      <c r="BB10" s="12" t="n">
        <v>2</v>
      </c>
      <c r="BC10" s="12" t="n">
        <v>5</v>
      </c>
      <c r="BD10" s="12" t="n">
        <v>5</v>
      </c>
      <c r="BE10" s="12" t="n">
        <v>4</v>
      </c>
      <c r="BF10" s="12" t="n">
        <v>6</v>
      </c>
      <c r="BG10" s="12" t="n">
        <v>1</v>
      </c>
      <c r="BH10" s="12" t="n">
        <v>2</v>
      </c>
      <c r="BI10" s="12" t="n">
        <v>2</v>
      </c>
      <c r="BJ10" s="12" t="n">
        <v>4</v>
      </c>
      <c r="BK10" s="12" t="n">
        <v>1</v>
      </c>
      <c r="BL10" s="12" t="n">
        <v>2</v>
      </c>
      <c r="BM10" s="12" t="n">
        <v>1</v>
      </c>
      <c r="BN10" s="12" t="n">
        <v>1</v>
      </c>
      <c r="BO10" s="12" t="n">
        <v>3</v>
      </c>
      <c r="BP10" s="12" t="n">
        <v>4</v>
      </c>
      <c r="BQ10" s="12" t="n">
        <v>2</v>
      </c>
      <c r="BR10" s="12" t="n">
        <v>5</v>
      </c>
      <c r="BS10" s="12" t="n">
        <v>6</v>
      </c>
      <c r="BT10" s="12" t="s">
        <v>651</v>
      </c>
      <c r="BU10" s="12" t="s">
        <v>652</v>
      </c>
      <c r="BV10" s="12"/>
      <c r="BW10" s="16" t="n">
        <f aca="false">IF($R10="","",INDEX(Codes!$E$2:$E$108,MATCH("B1|"&amp;$R10,Codes!$A$2:$A$108,0)))</f>
        <v>2</v>
      </c>
      <c r="BX10" s="16" t="n">
        <f aca="false">IF($Y10="","",INDEX(Codes!$E$2:$E$108,MATCH("B4|"&amp;$Y10,Codes!$A$2:$A$108,0)))</f>
        <v>3</v>
      </c>
      <c r="BY10" s="16" t="n">
        <f aca="false">IF($I10="","",INDEX(Codes!$E$2:$E$108,MATCH("A7|"&amp;$I10,Codes!$A$2:$A$108,0)))</f>
        <v>2</v>
      </c>
      <c r="BZ10" s="16" t="n">
        <f aca="false">IF($AU10="","",INDEX(Codes!$E$2:$E$108,MATCH("B8|"&amp;$AU10,Codes!$A$2:$A$108,0)))</f>
        <v>2</v>
      </c>
      <c r="CA10" s="16" t="n">
        <f aca="false">IF($H10="","",INDEX(Codes!$E$2:$E$108,MATCH("A6|"&amp;$H10,Codes!$A$2:$A$108,0)))</f>
        <v>1</v>
      </c>
      <c r="CB10" s="16" t="n">
        <f aca="false">IF($X10="","",IF($X10="phone",1,0))</f>
        <v>0</v>
      </c>
      <c r="CC10" s="16" t="n">
        <f aca="false">IF($BC10="","",8-$BC10)</f>
        <v>3</v>
      </c>
      <c r="CD10" s="12" t="s">
        <v>631</v>
      </c>
      <c r="CE10" s="12" t="n">
        <v>3.895</v>
      </c>
      <c r="CF10" s="12" t="n">
        <v>-2.756</v>
      </c>
    </row>
    <row r="11" customFormat="false" ht="15" hidden="false" customHeight="false" outlineLevel="0" collapsed="false">
      <c r="A11" s="12" t="s">
        <v>653</v>
      </c>
      <c r="B11" s="12" t="s">
        <v>654</v>
      </c>
      <c r="C11" s="12" t="s">
        <v>271</v>
      </c>
      <c r="D11" s="12" t="s">
        <v>289</v>
      </c>
      <c r="E11" s="12" t="s">
        <v>305</v>
      </c>
      <c r="F11" s="12" t="s">
        <v>315</v>
      </c>
      <c r="G11" s="12" t="s">
        <v>339</v>
      </c>
      <c r="H11" s="12" t="s">
        <v>349</v>
      </c>
      <c r="I11" s="12" t="s">
        <v>362</v>
      </c>
      <c r="J11" s="12" t="n">
        <v>1</v>
      </c>
      <c r="K11" s="12" t="n">
        <v>0</v>
      </c>
      <c r="L11" s="12" t="n">
        <v>0</v>
      </c>
      <c r="M11" s="12" t="n">
        <v>0</v>
      </c>
      <c r="N11" s="12" t="n">
        <v>0</v>
      </c>
      <c r="O11" s="12" t="n">
        <v>0</v>
      </c>
      <c r="P11" s="12" t="n">
        <v>0</v>
      </c>
      <c r="Q11" s="12" t="n">
        <v>5</v>
      </c>
      <c r="R11" s="12" t="s">
        <v>404</v>
      </c>
      <c r="S11" s="12" t="n">
        <v>1</v>
      </c>
      <c r="T11" s="12" t="n">
        <v>0</v>
      </c>
      <c r="U11" s="12" t="n">
        <v>0</v>
      </c>
      <c r="V11" s="12" t="n">
        <v>1</v>
      </c>
      <c r="W11" s="12" t="n">
        <v>0</v>
      </c>
      <c r="X11" s="12" t="s">
        <v>424</v>
      </c>
      <c r="Y11" s="12" t="s">
        <v>428</v>
      </c>
      <c r="Z11" s="12" t="n">
        <v>1</v>
      </c>
      <c r="AA11" s="12" t="n">
        <v>1</v>
      </c>
      <c r="AB11" s="12" t="n">
        <v>1</v>
      </c>
      <c r="AC11" s="12" t="n">
        <v>1</v>
      </c>
      <c r="AD11" s="12" t="n">
        <v>1</v>
      </c>
      <c r="AE11" s="12" t="n">
        <v>0</v>
      </c>
      <c r="AF11" s="12" t="n">
        <v>1</v>
      </c>
      <c r="AG11" s="12" t="n">
        <v>1</v>
      </c>
      <c r="AH11" s="12" t="n">
        <v>0</v>
      </c>
      <c r="AI11" s="12" t="n">
        <v>0</v>
      </c>
      <c r="AJ11" s="12" t="n">
        <v>0</v>
      </c>
      <c r="AK11" s="12" t="n">
        <v>0</v>
      </c>
      <c r="AL11" s="12" t="n">
        <v>0</v>
      </c>
      <c r="AM11" s="12" t="n">
        <v>1</v>
      </c>
      <c r="AN11" s="12" t="n">
        <v>1</v>
      </c>
      <c r="AO11" s="12" t="n">
        <v>0</v>
      </c>
      <c r="AP11" s="12" t="n">
        <v>1</v>
      </c>
      <c r="AQ11" s="12" t="n">
        <v>1</v>
      </c>
      <c r="AR11" s="12" t="n">
        <v>0</v>
      </c>
      <c r="AS11" s="12" t="n">
        <v>0</v>
      </c>
      <c r="AT11" s="12" t="s">
        <v>483</v>
      </c>
      <c r="AU11" s="12" t="s">
        <v>395</v>
      </c>
      <c r="AV11" s="12" t="n">
        <v>0</v>
      </c>
      <c r="AW11" s="12" t="n">
        <v>0</v>
      </c>
      <c r="AX11" s="12" t="n">
        <v>0</v>
      </c>
      <c r="AY11" s="12" t="n">
        <v>1</v>
      </c>
      <c r="AZ11" s="12" t="n">
        <v>0</v>
      </c>
      <c r="BA11" s="12" t="n">
        <v>0</v>
      </c>
      <c r="BB11" s="12" t="n">
        <v>3</v>
      </c>
      <c r="BC11" s="12" t="n">
        <v>5</v>
      </c>
      <c r="BD11" s="12" t="n">
        <v>5</v>
      </c>
      <c r="BE11" s="12" t="n">
        <v>4</v>
      </c>
      <c r="BF11" s="12" t="n">
        <v>1</v>
      </c>
      <c r="BG11" s="12" t="n">
        <v>4</v>
      </c>
      <c r="BH11" s="12" t="n">
        <v>4</v>
      </c>
      <c r="BI11" s="12" t="n">
        <v>5</v>
      </c>
      <c r="BJ11" s="12" t="n">
        <v>4</v>
      </c>
      <c r="BK11" s="12" t="n">
        <v>3</v>
      </c>
      <c r="BL11" s="12" t="n">
        <v>5</v>
      </c>
      <c r="BM11" s="12" t="n">
        <v>5</v>
      </c>
      <c r="BN11" s="12" t="n">
        <v>5</v>
      </c>
      <c r="BO11" s="12" t="n">
        <v>1</v>
      </c>
      <c r="BP11" s="12" t="n">
        <v>2</v>
      </c>
      <c r="BQ11" s="12" t="n">
        <v>3</v>
      </c>
      <c r="BR11" s="12" t="n">
        <v>4</v>
      </c>
      <c r="BS11" s="12" t="n">
        <v>6</v>
      </c>
      <c r="BT11" s="12" t="s">
        <v>655</v>
      </c>
      <c r="BU11" s="12"/>
      <c r="BV11" s="12"/>
      <c r="BW11" s="16" t="n">
        <f aca="false">IF($R11="","",INDEX(Codes!$E$2:$E$108,MATCH("B1|"&amp;$R11,Codes!$A$2:$A$108,0)))</f>
        <v>6</v>
      </c>
      <c r="BX11" s="16" t="n">
        <f aca="false">IF($Y11="","",INDEX(Codes!$E$2:$E$108,MATCH("B4|"&amp;$Y11,Codes!$A$2:$A$108,0)))</f>
        <v>1</v>
      </c>
      <c r="BY11" s="16" t="n">
        <f aca="false">IF($I11="","",INDEX(Codes!$E$2:$E$108,MATCH("A7|"&amp;$I11,Codes!$A$2:$A$108,0)))</f>
        <v>2</v>
      </c>
      <c r="BZ11" s="16" t="n">
        <f aca="false">IF($AU11="","",INDEX(Codes!$E$2:$E$108,MATCH("B8|"&amp;$AU11,Codes!$A$2:$A$108,0)))</f>
        <v>2</v>
      </c>
      <c r="CA11" s="16" t="n">
        <f aca="false">IF($H11="","",INDEX(Codes!$E$2:$E$108,MATCH("A6|"&amp;$H11,Codes!$A$2:$A$108,0)))</f>
        <v>4</v>
      </c>
      <c r="CB11" s="16" t="n">
        <f aca="false">IF($X11="","",IF($X11="phone",1,0))</f>
        <v>1</v>
      </c>
      <c r="CC11" s="16" t="n">
        <f aca="false">IF($BC11="","",8-$BC11)</f>
        <v>3</v>
      </c>
      <c r="CD11" s="12" t="s">
        <v>643</v>
      </c>
      <c r="CE11" s="12" t="n">
        <v>-3.062</v>
      </c>
      <c r="CF11" s="12" t="n">
        <v>-1.57</v>
      </c>
    </row>
    <row r="12" customFormat="false" ht="15" hidden="false" customHeight="false" outlineLevel="0" collapsed="false">
      <c r="A12" s="12" t="s">
        <v>656</v>
      </c>
      <c r="B12" s="12" t="s">
        <v>657</v>
      </c>
      <c r="C12" s="12" t="s">
        <v>274</v>
      </c>
      <c r="D12" s="12" t="s">
        <v>289</v>
      </c>
      <c r="E12" s="12" t="s">
        <v>305</v>
      </c>
      <c r="F12" s="12" t="s">
        <v>318</v>
      </c>
      <c r="G12" s="12" t="s">
        <v>333</v>
      </c>
      <c r="H12" s="12" t="s">
        <v>349</v>
      </c>
      <c r="I12" s="12" t="s">
        <v>362</v>
      </c>
      <c r="J12" s="12" t="n">
        <v>1</v>
      </c>
      <c r="K12" s="12" t="n">
        <v>0</v>
      </c>
      <c r="L12" s="12" t="n">
        <v>0</v>
      </c>
      <c r="M12" s="12" t="n">
        <v>0</v>
      </c>
      <c r="N12" s="12" t="n">
        <v>0</v>
      </c>
      <c r="O12" s="12" t="n">
        <v>0</v>
      </c>
      <c r="P12" s="12" t="n">
        <v>0</v>
      </c>
      <c r="Q12" s="12" t="n">
        <v>7</v>
      </c>
      <c r="R12" s="12" t="s">
        <v>404</v>
      </c>
      <c r="S12" s="12" t="n">
        <v>1</v>
      </c>
      <c r="T12" s="12" t="n">
        <v>1</v>
      </c>
      <c r="U12" s="12" t="n">
        <v>0</v>
      </c>
      <c r="V12" s="12" t="n">
        <v>1</v>
      </c>
      <c r="W12" s="12" t="n">
        <v>0</v>
      </c>
      <c r="X12" s="12" t="s">
        <v>424</v>
      </c>
      <c r="Y12" s="12" t="s">
        <v>431</v>
      </c>
      <c r="Z12" s="12" t="n">
        <v>1</v>
      </c>
      <c r="AA12" s="12" t="n">
        <v>1</v>
      </c>
      <c r="AB12" s="12" t="n">
        <v>1</v>
      </c>
      <c r="AC12" s="12" t="n">
        <v>0</v>
      </c>
      <c r="AD12" s="12" t="n">
        <v>1</v>
      </c>
      <c r="AE12" s="12" t="n">
        <v>1</v>
      </c>
      <c r="AF12" s="12" t="n">
        <v>0</v>
      </c>
      <c r="AG12" s="12" t="n">
        <v>1</v>
      </c>
      <c r="AH12" s="12" t="n">
        <v>1</v>
      </c>
      <c r="AI12" s="12" t="n">
        <v>0</v>
      </c>
      <c r="AJ12" s="12" t="n">
        <v>0</v>
      </c>
      <c r="AK12" s="12" t="n">
        <v>0</v>
      </c>
      <c r="AL12" s="12" t="n">
        <v>1</v>
      </c>
      <c r="AM12" s="12" t="n">
        <v>0</v>
      </c>
      <c r="AN12" s="12" t="n">
        <v>1</v>
      </c>
      <c r="AO12" s="12" t="n">
        <v>0</v>
      </c>
      <c r="AP12" s="12" t="n">
        <v>0</v>
      </c>
      <c r="AQ12" s="12" t="n">
        <v>0</v>
      </c>
      <c r="AR12" s="12" t="n">
        <v>0</v>
      </c>
      <c r="AS12" s="12" t="n">
        <v>1</v>
      </c>
      <c r="AT12" s="12" t="s">
        <v>483</v>
      </c>
      <c r="AU12" s="12" t="s">
        <v>356</v>
      </c>
      <c r="AV12" s="12" t="n">
        <v>0</v>
      </c>
      <c r="AW12" s="12" t="n">
        <v>1</v>
      </c>
      <c r="AX12" s="12" t="n">
        <v>0</v>
      </c>
      <c r="AY12" s="12" t="n">
        <v>1</v>
      </c>
      <c r="AZ12" s="12" t="n">
        <v>0</v>
      </c>
      <c r="BA12" s="12" t="n">
        <v>0</v>
      </c>
      <c r="BB12" s="12" t="n">
        <v>4</v>
      </c>
      <c r="BC12" s="12" t="n">
        <v>4</v>
      </c>
      <c r="BD12" s="12" t="n">
        <v>5</v>
      </c>
      <c r="BE12" s="12" t="n">
        <v>6</v>
      </c>
      <c r="BF12" s="12" t="n">
        <v>4</v>
      </c>
      <c r="BG12" s="12" t="n">
        <v>6</v>
      </c>
      <c r="BH12" s="12" t="n">
        <v>5</v>
      </c>
      <c r="BI12" s="12" t="n">
        <v>4</v>
      </c>
      <c r="BJ12" s="12" t="n">
        <v>6</v>
      </c>
      <c r="BK12" s="12" t="n">
        <v>3</v>
      </c>
      <c r="BL12" s="12" t="n">
        <v>4</v>
      </c>
      <c r="BM12" s="12" t="n">
        <v>3</v>
      </c>
      <c r="BN12" s="12" t="n">
        <v>3</v>
      </c>
      <c r="BO12" s="12" t="n">
        <v>1</v>
      </c>
      <c r="BP12" s="12" t="n">
        <v>2</v>
      </c>
      <c r="BQ12" s="12" t="n">
        <v>4</v>
      </c>
      <c r="BR12" s="12" t="n">
        <v>5</v>
      </c>
      <c r="BS12" s="12" t="n">
        <v>6</v>
      </c>
      <c r="BT12" s="12" t="s">
        <v>658</v>
      </c>
      <c r="BU12" s="12"/>
      <c r="BV12" s="12" t="s">
        <v>659</v>
      </c>
      <c r="BW12" s="16" t="n">
        <f aca="false">IF($R12="","",INDEX(Codes!$E$2:$E$108,MATCH("B1|"&amp;$R12,Codes!$A$2:$A$108,0)))</f>
        <v>6</v>
      </c>
      <c r="BX12" s="16" t="n">
        <f aca="false">IF($Y12="","",INDEX(Codes!$E$2:$E$108,MATCH("B4|"&amp;$Y12,Codes!$A$2:$A$108,0)))</f>
        <v>2</v>
      </c>
      <c r="BY12" s="16" t="n">
        <f aca="false">IF($I12="","",INDEX(Codes!$E$2:$E$108,MATCH("A7|"&amp;$I12,Codes!$A$2:$A$108,0)))</f>
        <v>2</v>
      </c>
      <c r="BZ12" s="16" t="n">
        <f aca="false">IF($AU12="","",INDEX(Codes!$E$2:$E$108,MATCH("B8|"&amp;$AU12,Codes!$A$2:$A$108,0)))</f>
        <v>0</v>
      </c>
      <c r="CA12" s="16" t="n">
        <f aca="false">IF($H12="","",INDEX(Codes!$E$2:$E$108,MATCH("A6|"&amp;$H12,Codes!$A$2:$A$108,0)))</f>
        <v>4</v>
      </c>
      <c r="CB12" s="16" t="n">
        <f aca="false">IF($X12="","",IF($X12="phone",1,0))</f>
        <v>1</v>
      </c>
      <c r="CC12" s="16" t="n">
        <f aca="false">IF($BC12="","",8-$BC12)</f>
        <v>4</v>
      </c>
      <c r="CD12" s="12" t="s">
        <v>643</v>
      </c>
      <c r="CE12" s="12" t="n">
        <v>-2.868</v>
      </c>
      <c r="CF12" s="12" t="n">
        <v>-0.913</v>
      </c>
    </row>
    <row r="13" customFormat="false" ht="15" hidden="false" customHeight="false" outlineLevel="0" collapsed="false">
      <c r="A13" s="12" t="s">
        <v>660</v>
      </c>
      <c r="B13" s="12" t="s">
        <v>661</v>
      </c>
      <c r="C13" s="12" t="s">
        <v>274</v>
      </c>
      <c r="D13" s="12" t="s">
        <v>293</v>
      </c>
      <c r="E13" s="12" t="s">
        <v>308</v>
      </c>
      <c r="F13" s="12" t="s">
        <v>315</v>
      </c>
      <c r="G13" s="12" t="s">
        <v>333</v>
      </c>
      <c r="H13" s="12" t="s">
        <v>349</v>
      </c>
      <c r="I13" s="12" t="s">
        <v>365</v>
      </c>
      <c r="J13" s="12" t="n">
        <v>1</v>
      </c>
      <c r="K13" s="12" t="n">
        <v>0</v>
      </c>
      <c r="L13" s="12" t="n">
        <v>0</v>
      </c>
      <c r="M13" s="12" t="n">
        <v>0</v>
      </c>
      <c r="N13" s="12" t="n">
        <v>0</v>
      </c>
      <c r="O13" s="12" t="n">
        <v>0</v>
      </c>
      <c r="P13" s="12" t="n">
        <v>0</v>
      </c>
      <c r="Q13" s="12" t="n">
        <v>4</v>
      </c>
      <c r="R13" s="12" t="s">
        <v>395</v>
      </c>
      <c r="S13" s="12" t="n">
        <v>1</v>
      </c>
      <c r="T13" s="12" t="n">
        <v>0</v>
      </c>
      <c r="U13" s="12" t="n">
        <v>0</v>
      </c>
      <c r="V13" s="12" t="n">
        <v>1</v>
      </c>
      <c r="W13" s="12" t="n">
        <v>0</v>
      </c>
      <c r="X13" s="12" t="s">
        <v>424</v>
      </c>
      <c r="Y13" s="12" t="s">
        <v>437</v>
      </c>
      <c r="Z13" s="12" t="n">
        <v>0</v>
      </c>
      <c r="AA13" s="12" t="n">
        <v>1</v>
      </c>
      <c r="AB13" s="12" t="n">
        <v>1</v>
      </c>
      <c r="AC13" s="12" t="n">
        <v>1</v>
      </c>
      <c r="AD13" s="12" t="n">
        <v>0</v>
      </c>
      <c r="AE13" s="12" t="n">
        <v>0</v>
      </c>
      <c r="AF13" s="12" t="n">
        <v>1</v>
      </c>
      <c r="AG13" s="12" t="n">
        <v>0</v>
      </c>
      <c r="AH13" s="12" t="n">
        <v>1</v>
      </c>
      <c r="AI13" s="12" t="n">
        <v>1</v>
      </c>
      <c r="AJ13" s="12" t="n">
        <v>0</v>
      </c>
      <c r="AK13" s="12" t="n">
        <v>0</v>
      </c>
      <c r="AL13" s="12" t="n">
        <v>0</v>
      </c>
      <c r="AM13" s="12" t="n">
        <v>0</v>
      </c>
      <c r="AN13" s="12" t="n">
        <v>0</v>
      </c>
      <c r="AO13" s="12" t="n">
        <v>0</v>
      </c>
      <c r="AP13" s="12" t="n">
        <v>0</v>
      </c>
      <c r="AQ13" s="12" t="n">
        <v>0</v>
      </c>
      <c r="AR13" s="12" t="n">
        <v>1</v>
      </c>
      <c r="AS13" s="12" t="n">
        <v>0</v>
      </c>
      <c r="AT13" s="12" t="s">
        <v>480</v>
      </c>
      <c r="AU13" s="12" t="s">
        <v>398</v>
      </c>
      <c r="AV13" s="12" t="n">
        <v>0</v>
      </c>
      <c r="AW13" s="12" t="n">
        <v>1</v>
      </c>
      <c r="AX13" s="12" t="n">
        <v>0</v>
      </c>
      <c r="AY13" s="12" t="n">
        <v>1</v>
      </c>
      <c r="AZ13" s="12" t="n">
        <v>0</v>
      </c>
      <c r="BA13" s="12" t="n">
        <v>0</v>
      </c>
      <c r="BB13" s="12" t="n">
        <v>4</v>
      </c>
      <c r="BC13" s="12" t="n">
        <v>2</v>
      </c>
      <c r="BD13" s="12" t="n">
        <v>4</v>
      </c>
      <c r="BE13" s="12" t="n">
        <v>5</v>
      </c>
      <c r="BF13" s="12" t="n">
        <v>4</v>
      </c>
      <c r="BG13" s="12" t="n">
        <v>2</v>
      </c>
      <c r="BH13" s="12" t="n">
        <v>3</v>
      </c>
      <c r="BI13" s="12" t="n">
        <v>3</v>
      </c>
      <c r="BJ13" s="12" t="n">
        <v>4</v>
      </c>
      <c r="BK13" s="12" t="n">
        <v>3</v>
      </c>
      <c r="BL13" s="12" t="n">
        <v>3</v>
      </c>
      <c r="BM13" s="12" t="n">
        <v>4</v>
      </c>
      <c r="BN13" s="12" t="n">
        <v>4</v>
      </c>
      <c r="BO13" s="12" t="n">
        <v>1</v>
      </c>
      <c r="BP13" s="12" t="n">
        <v>3</v>
      </c>
      <c r="BQ13" s="12" t="n">
        <v>5</v>
      </c>
      <c r="BR13" s="12" t="n">
        <v>2</v>
      </c>
      <c r="BS13" s="12" t="n">
        <v>6</v>
      </c>
      <c r="BT13" s="12" t="s">
        <v>662</v>
      </c>
      <c r="BU13" s="12" t="s">
        <v>663</v>
      </c>
      <c r="BV13" s="12" t="s">
        <v>664</v>
      </c>
      <c r="BW13" s="16" t="n">
        <f aca="false">IF($R13="","",INDEX(Codes!$E$2:$E$108,MATCH("B1|"&amp;$R13,Codes!$A$2:$A$108,0)))</f>
        <v>3</v>
      </c>
      <c r="BX13" s="16" t="n">
        <f aca="false">IF($Y13="","",INDEX(Codes!$E$2:$E$108,MATCH("B4|"&amp;$Y13,Codes!$A$2:$A$108,0)))</f>
        <v>4</v>
      </c>
      <c r="BY13" s="16" t="n">
        <f aca="false">IF($I13="","",INDEX(Codes!$E$2:$E$108,MATCH("A7|"&amp;$I13,Codes!$A$2:$A$108,0)))</f>
        <v>3</v>
      </c>
      <c r="BZ13" s="16" t="n">
        <f aca="false">IF($AU13="","",INDEX(Codes!$E$2:$E$108,MATCH("B8|"&amp;$AU13,Codes!$A$2:$A$108,0)))</f>
        <v>3</v>
      </c>
      <c r="CA13" s="16" t="n">
        <f aca="false">IF($H13="","",INDEX(Codes!$E$2:$E$108,MATCH("A6|"&amp;$H13,Codes!$A$2:$A$108,0)))</f>
        <v>4</v>
      </c>
      <c r="CB13" s="16" t="n">
        <f aca="false">IF($X13="","",IF($X13="phone",1,0))</f>
        <v>1</v>
      </c>
      <c r="CC13" s="16" t="n">
        <f aca="false">IF($BC13="","",8-$BC13)</f>
        <v>6</v>
      </c>
      <c r="CD13" s="12" t="s">
        <v>648</v>
      </c>
      <c r="CE13" s="12" t="n">
        <v>0.177</v>
      </c>
      <c r="CF13" s="12" t="n">
        <v>-2.707</v>
      </c>
    </row>
    <row r="14" customFormat="false" ht="15" hidden="false" customHeight="false" outlineLevel="0" collapsed="false">
      <c r="A14" s="12" t="s">
        <v>665</v>
      </c>
      <c r="B14" s="12" t="s">
        <v>666</v>
      </c>
      <c r="C14" s="12" t="s">
        <v>277</v>
      </c>
      <c r="D14" s="12" t="s">
        <v>291</v>
      </c>
      <c r="E14" s="12" t="s">
        <v>302</v>
      </c>
      <c r="F14" s="12" t="s">
        <v>324</v>
      </c>
      <c r="G14" s="12" t="s">
        <v>333</v>
      </c>
      <c r="H14" s="12" t="s">
        <v>345</v>
      </c>
      <c r="I14" s="12" t="s">
        <v>356</v>
      </c>
      <c r="J14" s="12" t="n">
        <v>1</v>
      </c>
      <c r="K14" s="12" t="n">
        <v>0</v>
      </c>
      <c r="L14" s="12" t="n">
        <v>0</v>
      </c>
      <c r="M14" s="12" t="n">
        <v>0</v>
      </c>
      <c r="N14" s="12" t="n">
        <v>0</v>
      </c>
      <c r="O14" s="12" t="n">
        <v>0</v>
      </c>
      <c r="P14" s="12" t="n">
        <v>0</v>
      </c>
      <c r="Q14" s="12" t="n">
        <v>5</v>
      </c>
      <c r="R14" s="12" t="s">
        <v>404</v>
      </c>
      <c r="S14" s="12" t="n">
        <v>1</v>
      </c>
      <c r="T14" s="12" t="n">
        <v>0</v>
      </c>
      <c r="U14" s="12" t="n">
        <v>1</v>
      </c>
      <c r="V14" s="12" t="n">
        <v>0</v>
      </c>
      <c r="W14" s="12" t="n">
        <v>0</v>
      </c>
      <c r="X14" s="12" t="s">
        <v>407</v>
      </c>
      <c r="Y14" s="12" t="s">
        <v>437</v>
      </c>
      <c r="Z14" s="12" t="n">
        <v>1</v>
      </c>
      <c r="AA14" s="12" t="n">
        <v>1</v>
      </c>
      <c r="AB14" s="12" t="n">
        <v>0</v>
      </c>
      <c r="AC14" s="12" t="n">
        <v>1</v>
      </c>
      <c r="AD14" s="12" t="n">
        <v>0</v>
      </c>
      <c r="AE14" s="12" t="n">
        <v>0</v>
      </c>
      <c r="AF14" s="12" t="n">
        <v>0</v>
      </c>
      <c r="AG14" s="12" t="n">
        <v>0</v>
      </c>
      <c r="AH14" s="12" t="n">
        <v>0</v>
      </c>
      <c r="AI14" s="12" t="n">
        <v>1</v>
      </c>
      <c r="AJ14" s="12" t="n">
        <v>0</v>
      </c>
      <c r="AK14" s="12" t="n">
        <v>0</v>
      </c>
      <c r="AL14" s="12" t="n">
        <v>0</v>
      </c>
      <c r="AM14" s="12" t="n">
        <v>0</v>
      </c>
      <c r="AN14" s="12" t="n">
        <v>0</v>
      </c>
      <c r="AO14" s="12" t="n">
        <v>0</v>
      </c>
      <c r="AP14" s="12" t="n">
        <v>1</v>
      </c>
      <c r="AQ14" s="12" t="n">
        <v>0</v>
      </c>
      <c r="AR14" s="12" t="n">
        <v>0</v>
      </c>
      <c r="AS14" s="12" t="n">
        <v>0</v>
      </c>
      <c r="AT14" s="12" t="s">
        <v>480</v>
      </c>
      <c r="AU14" s="12" t="s">
        <v>343</v>
      </c>
      <c r="AV14" s="12" t="n">
        <v>0</v>
      </c>
      <c r="AW14" s="12" t="n">
        <v>1</v>
      </c>
      <c r="AX14" s="12" t="n">
        <v>1</v>
      </c>
      <c r="AY14" s="12" t="n">
        <v>1</v>
      </c>
      <c r="AZ14" s="12" t="n">
        <v>1</v>
      </c>
      <c r="BA14" s="12" t="n">
        <v>0</v>
      </c>
      <c r="BB14" s="12" t="n">
        <v>4</v>
      </c>
      <c r="BC14" s="12" t="n">
        <v>4</v>
      </c>
      <c r="BD14" s="12" t="n">
        <v>4</v>
      </c>
      <c r="BE14" s="12" t="n">
        <v>4</v>
      </c>
      <c r="BF14" s="12" t="n">
        <v>4</v>
      </c>
      <c r="BG14" s="12" t="n">
        <v>4</v>
      </c>
      <c r="BH14" s="12" t="n">
        <v>4</v>
      </c>
      <c r="BI14" s="12" t="n">
        <v>4</v>
      </c>
      <c r="BJ14" s="12" t="n">
        <v>4</v>
      </c>
      <c r="BK14" s="12" t="n">
        <v>4</v>
      </c>
      <c r="BL14" s="12" t="n">
        <v>5</v>
      </c>
      <c r="BM14" s="12" t="n">
        <v>3</v>
      </c>
      <c r="BN14" s="12" t="n">
        <v>1</v>
      </c>
      <c r="BO14" s="12" t="n">
        <v>3</v>
      </c>
      <c r="BP14" s="12" t="n">
        <v>4</v>
      </c>
      <c r="BQ14" s="12" t="n">
        <v>5</v>
      </c>
      <c r="BR14" s="12" t="n">
        <v>2</v>
      </c>
      <c r="BS14" s="12" t="n">
        <v>6</v>
      </c>
      <c r="BT14" s="12" t="s">
        <v>667</v>
      </c>
      <c r="BU14" s="12"/>
      <c r="BV14" s="12"/>
      <c r="BW14" s="16" t="n">
        <f aca="false">IF($R14="","",INDEX(Codes!$E$2:$E$108,MATCH("B1|"&amp;$R14,Codes!$A$2:$A$108,0)))</f>
        <v>6</v>
      </c>
      <c r="BX14" s="16" t="n">
        <f aca="false">IF($Y14="","",INDEX(Codes!$E$2:$E$108,MATCH("B4|"&amp;$Y14,Codes!$A$2:$A$108,0)))</f>
        <v>4</v>
      </c>
      <c r="BY14" s="16" t="n">
        <f aca="false">IF($I14="","",INDEX(Codes!$E$2:$E$108,MATCH("A7|"&amp;$I14,Codes!$A$2:$A$108,0)))</f>
        <v>0</v>
      </c>
      <c r="BZ14" s="16" t="n">
        <f aca="false">IF($AU14="","",INDEX(Codes!$E$2:$E$108,MATCH("B8|"&amp;$AU14,Codes!$A$2:$A$108,0)))</f>
        <v>1</v>
      </c>
      <c r="CA14" s="16" t="n">
        <f aca="false">IF($H14="","",INDEX(Codes!$E$2:$E$108,MATCH("A6|"&amp;$H14,Codes!$A$2:$A$108,0)))</f>
        <v>2</v>
      </c>
      <c r="CB14" s="16" t="n">
        <f aca="false">IF($X14="","",IF($X14="phone",1,0))</f>
        <v>0</v>
      </c>
      <c r="CC14" s="16" t="n">
        <f aca="false">IF($BC14="","",8-$BC14)</f>
        <v>4</v>
      </c>
      <c r="CD14" s="12" t="s">
        <v>620</v>
      </c>
      <c r="CE14" s="12" t="n">
        <v>0.791</v>
      </c>
      <c r="CF14" s="12" t="n">
        <v>1.322</v>
      </c>
    </row>
    <row r="15" customFormat="false" ht="15" hidden="false" customHeight="false" outlineLevel="0" collapsed="false">
      <c r="A15" s="12" t="s">
        <v>668</v>
      </c>
      <c r="B15" s="12" t="s">
        <v>669</v>
      </c>
      <c r="C15" s="12" t="s">
        <v>271</v>
      </c>
      <c r="D15" s="12" t="s">
        <v>291</v>
      </c>
      <c r="E15" s="12" t="s">
        <v>308</v>
      </c>
      <c r="F15" s="12" t="s">
        <v>318</v>
      </c>
      <c r="G15" s="12" t="s">
        <v>333</v>
      </c>
      <c r="H15" s="12" t="s">
        <v>353</v>
      </c>
      <c r="I15" s="12" t="s">
        <v>365</v>
      </c>
      <c r="J15" s="12" t="n">
        <v>0</v>
      </c>
      <c r="K15" s="12" t="n">
        <v>1</v>
      </c>
      <c r="L15" s="12" t="n">
        <v>0</v>
      </c>
      <c r="M15" s="12" t="n">
        <v>0</v>
      </c>
      <c r="N15" s="12" t="n">
        <v>0</v>
      </c>
      <c r="O15" s="12" t="n">
        <v>0</v>
      </c>
      <c r="P15" s="12" t="n">
        <v>0</v>
      </c>
      <c r="Q15" s="12" t="n">
        <v>5</v>
      </c>
      <c r="R15" s="12" t="s">
        <v>401</v>
      </c>
      <c r="S15" s="12" t="n">
        <v>1</v>
      </c>
      <c r="T15" s="12" t="n">
        <v>0</v>
      </c>
      <c r="U15" s="12" t="n">
        <v>1</v>
      </c>
      <c r="V15" s="12" t="n">
        <v>0</v>
      </c>
      <c r="W15" s="12" t="n">
        <v>0</v>
      </c>
      <c r="X15" s="12" t="s">
        <v>407</v>
      </c>
      <c r="Y15" s="12" t="s">
        <v>440</v>
      </c>
      <c r="Z15" s="12" t="n">
        <v>1</v>
      </c>
      <c r="AA15" s="12" t="n">
        <v>0</v>
      </c>
      <c r="AB15" s="12" t="n">
        <v>0</v>
      </c>
      <c r="AC15" s="12" t="n">
        <v>1</v>
      </c>
      <c r="AD15" s="12" t="n">
        <v>1</v>
      </c>
      <c r="AE15" s="12" t="n">
        <v>0</v>
      </c>
      <c r="AF15" s="12" t="n">
        <v>0</v>
      </c>
      <c r="AG15" s="12" t="n">
        <v>0</v>
      </c>
      <c r="AH15" s="12" t="n">
        <v>1</v>
      </c>
      <c r="AI15" s="12" t="n">
        <v>0</v>
      </c>
      <c r="AJ15" s="12" t="n">
        <v>0</v>
      </c>
      <c r="AK15" s="12" t="n">
        <v>0</v>
      </c>
      <c r="AL15" s="12" t="n">
        <v>0</v>
      </c>
      <c r="AM15" s="12" t="n">
        <v>0</v>
      </c>
      <c r="AN15" s="12" t="n">
        <v>0</v>
      </c>
      <c r="AO15" s="12" t="n">
        <v>0</v>
      </c>
      <c r="AP15" s="12" t="n">
        <v>1</v>
      </c>
      <c r="AQ15" s="12" t="n">
        <v>0</v>
      </c>
      <c r="AR15" s="12" t="n">
        <v>1</v>
      </c>
      <c r="AS15" s="12" t="n">
        <v>0</v>
      </c>
      <c r="AT15" s="12" t="s">
        <v>480</v>
      </c>
      <c r="AU15" s="12" t="s">
        <v>395</v>
      </c>
      <c r="AV15" s="12" t="n">
        <v>0</v>
      </c>
      <c r="AW15" s="12" t="n">
        <v>1</v>
      </c>
      <c r="AX15" s="12" t="n">
        <v>1</v>
      </c>
      <c r="AY15" s="12" t="n">
        <v>1</v>
      </c>
      <c r="AZ15" s="12" t="n">
        <v>1</v>
      </c>
      <c r="BA15" s="12" t="n">
        <v>0</v>
      </c>
      <c r="BB15" s="12" t="n">
        <v>1</v>
      </c>
      <c r="BC15" s="12" t="n">
        <v>6</v>
      </c>
      <c r="BD15" s="12" t="n">
        <v>3</v>
      </c>
      <c r="BE15" s="12" t="n">
        <v>4</v>
      </c>
      <c r="BF15" s="12" t="n">
        <v>2</v>
      </c>
      <c r="BG15" s="12" t="n">
        <v>1</v>
      </c>
      <c r="BH15" s="12" t="n">
        <v>5</v>
      </c>
      <c r="BI15" s="12" t="n">
        <v>5</v>
      </c>
      <c r="BJ15" s="12" t="n">
        <v>1</v>
      </c>
      <c r="BK15" s="12" t="n">
        <v>5</v>
      </c>
      <c r="BL15" s="12" t="n">
        <v>3</v>
      </c>
      <c r="BM15" s="12" t="n">
        <v>3</v>
      </c>
      <c r="BN15" s="12" t="n">
        <v>1</v>
      </c>
      <c r="BO15" s="12" t="n">
        <v>2</v>
      </c>
      <c r="BP15" s="12" t="n">
        <v>3</v>
      </c>
      <c r="BQ15" s="12" t="n">
        <v>5</v>
      </c>
      <c r="BR15" s="12" t="n">
        <v>4</v>
      </c>
      <c r="BS15" s="12" t="n">
        <v>6</v>
      </c>
      <c r="BT15" s="12" t="s">
        <v>670</v>
      </c>
      <c r="BU15" s="12"/>
      <c r="BV15" s="12"/>
      <c r="BW15" s="16" t="n">
        <f aca="false">IF($R15="","",INDEX(Codes!$E$2:$E$108,MATCH("B1|"&amp;$R15,Codes!$A$2:$A$108,0)))</f>
        <v>5</v>
      </c>
      <c r="BX15" s="16" t="n">
        <f aca="false">IF($Y15="","",INDEX(Codes!$E$2:$E$108,MATCH("B4|"&amp;$Y15,Codes!$A$2:$A$108,0)))</f>
        <v>5</v>
      </c>
      <c r="BY15" s="16" t="n">
        <f aca="false">IF($I15="","",INDEX(Codes!$E$2:$E$108,MATCH("A7|"&amp;$I15,Codes!$A$2:$A$108,0)))</f>
        <v>3</v>
      </c>
      <c r="BZ15" s="16" t="n">
        <f aca="false">IF($AU15="","",INDEX(Codes!$E$2:$E$108,MATCH("B8|"&amp;$AU15,Codes!$A$2:$A$108,0)))</f>
        <v>2</v>
      </c>
      <c r="CA15" s="16" t="n">
        <f aca="false">IF($H15="","",INDEX(Codes!$E$2:$E$108,MATCH("A6|"&amp;$H15,Codes!$A$2:$A$108,0)))</f>
        <v>6</v>
      </c>
      <c r="CB15" s="16" t="n">
        <f aca="false">IF($X15="","",IF($X15="phone",1,0))</f>
        <v>0</v>
      </c>
      <c r="CC15" s="16" t="n">
        <f aca="false">IF($BC15="","",8-$BC15)</f>
        <v>2</v>
      </c>
      <c r="CD15" s="12" t="s">
        <v>671</v>
      </c>
      <c r="CE15" s="12" t="n">
        <v>2.59</v>
      </c>
      <c r="CF15" s="12" t="n">
        <v>0.625</v>
      </c>
    </row>
    <row r="16" customFormat="false" ht="15" hidden="false" customHeight="false" outlineLevel="0" collapsed="false">
      <c r="A16" s="12" t="s">
        <v>672</v>
      </c>
      <c r="B16" s="12" t="s">
        <v>673</v>
      </c>
      <c r="C16" s="12" t="s">
        <v>271</v>
      </c>
      <c r="D16" s="12" t="s">
        <v>293</v>
      </c>
      <c r="E16" s="12" t="s">
        <v>308</v>
      </c>
      <c r="F16" s="12" t="s">
        <v>315</v>
      </c>
      <c r="G16" s="12" t="s">
        <v>336</v>
      </c>
      <c r="H16" s="12" t="s">
        <v>347</v>
      </c>
      <c r="I16" s="12" t="s">
        <v>362</v>
      </c>
      <c r="J16" s="12" t="n">
        <v>1</v>
      </c>
      <c r="K16" s="12" t="n">
        <v>0</v>
      </c>
      <c r="L16" s="12" t="n">
        <v>0</v>
      </c>
      <c r="M16" s="12" t="n">
        <v>0</v>
      </c>
      <c r="N16" s="12" t="n">
        <v>0</v>
      </c>
      <c r="O16" s="12" t="n">
        <v>0</v>
      </c>
      <c r="P16" s="12" t="n">
        <v>0</v>
      </c>
      <c r="Q16" s="12" t="n">
        <v>5</v>
      </c>
      <c r="R16" s="12" t="s">
        <v>398</v>
      </c>
      <c r="S16" s="12" t="n">
        <v>1</v>
      </c>
      <c r="T16" s="12" t="n">
        <v>0</v>
      </c>
      <c r="U16" s="12" t="n">
        <v>0</v>
      </c>
      <c r="V16" s="12" t="n">
        <v>1</v>
      </c>
      <c r="W16" s="12" t="n">
        <v>0</v>
      </c>
      <c r="X16" s="12" t="s">
        <v>424</v>
      </c>
      <c r="Y16" s="12" t="s">
        <v>431</v>
      </c>
      <c r="Z16" s="12" t="n">
        <v>1</v>
      </c>
      <c r="AA16" s="12" t="n">
        <v>1</v>
      </c>
      <c r="AB16" s="12" t="n">
        <v>1</v>
      </c>
      <c r="AC16" s="12" t="n">
        <v>0</v>
      </c>
      <c r="AD16" s="12" t="n">
        <v>1</v>
      </c>
      <c r="AE16" s="12" t="n">
        <v>0</v>
      </c>
      <c r="AF16" s="12" t="n">
        <v>0</v>
      </c>
      <c r="AG16" s="12" t="n">
        <v>0</v>
      </c>
      <c r="AH16" s="12" t="n">
        <v>1</v>
      </c>
      <c r="AI16" s="12" t="n">
        <v>0</v>
      </c>
      <c r="AJ16" s="12" t="n">
        <v>0</v>
      </c>
      <c r="AK16" s="12" t="n">
        <v>0</v>
      </c>
      <c r="AL16" s="12" t="n">
        <v>0</v>
      </c>
      <c r="AM16" s="12" t="n">
        <v>1</v>
      </c>
      <c r="AN16" s="12" t="n">
        <v>0</v>
      </c>
      <c r="AO16" s="12" t="n">
        <v>0</v>
      </c>
      <c r="AP16" s="12" t="n">
        <v>1</v>
      </c>
      <c r="AQ16" s="12" t="n">
        <v>0</v>
      </c>
      <c r="AR16" s="12" t="n">
        <v>0</v>
      </c>
      <c r="AS16" s="12" t="n">
        <v>0</v>
      </c>
      <c r="AT16" s="12" t="s">
        <v>483</v>
      </c>
      <c r="AU16" s="12" t="s">
        <v>343</v>
      </c>
      <c r="AV16" s="12" t="n">
        <v>0</v>
      </c>
      <c r="AW16" s="12" t="n">
        <v>0</v>
      </c>
      <c r="AX16" s="12" t="n">
        <v>0</v>
      </c>
      <c r="AY16" s="12" t="n">
        <v>1</v>
      </c>
      <c r="AZ16" s="12" t="n">
        <v>1</v>
      </c>
      <c r="BA16" s="12" t="n">
        <v>0</v>
      </c>
      <c r="BB16" s="12" t="n">
        <v>5</v>
      </c>
      <c r="BC16" s="12" t="n">
        <v>2</v>
      </c>
      <c r="BD16" s="12" t="n">
        <v>5</v>
      </c>
      <c r="BE16" s="12" t="n">
        <v>6</v>
      </c>
      <c r="BF16" s="12" t="n">
        <v>3</v>
      </c>
      <c r="BG16" s="12" t="n">
        <v>4</v>
      </c>
      <c r="BH16" s="12" t="n">
        <v>4</v>
      </c>
      <c r="BI16" s="12" t="n">
        <v>6</v>
      </c>
      <c r="BJ16" s="12" t="n">
        <v>5</v>
      </c>
      <c r="BK16" s="12" t="n">
        <v>3</v>
      </c>
      <c r="BL16" s="12" t="n">
        <v>4</v>
      </c>
      <c r="BM16" s="12" t="n">
        <v>4</v>
      </c>
      <c r="BN16" s="12" t="n">
        <v>3</v>
      </c>
      <c r="BO16" s="12" t="n">
        <v>2</v>
      </c>
      <c r="BP16" s="12" t="n">
        <v>6</v>
      </c>
      <c r="BQ16" s="12" t="n">
        <v>4</v>
      </c>
      <c r="BR16" s="12" t="n">
        <v>5</v>
      </c>
      <c r="BS16" s="12" t="n">
        <v>1</v>
      </c>
      <c r="BT16" s="12" t="s">
        <v>658</v>
      </c>
      <c r="BU16" s="12" t="s">
        <v>674</v>
      </c>
      <c r="BV16" s="12"/>
      <c r="BW16" s="16" t="n">
        <f aca="false">IF($R16="","",INDEX(Codes!$E$2:$E$108,MATCH("B1|"&amp;$R16,Codes!$A$2:$A$108,0)))</f>
        <v>4</v>
      </c>
      <c r="BX16" s="16" t="n">
        <f aca="false">IF($Y16="","",INDEX(Codes!$E$2:$E$108,MATCH("B4|"&amp;$Y16,Codes!$A$2:$A$108,0)))</f>
        <v>2</v>
      </c>
      <c r="BY16" s="16" t="n">
        <f aca="false">IF($I16="","",INDEX(Codes!$E$2:$E$108,MATCH("A7|"&amp;$I16,Codes!$A$2:$A$108,0)))</f>
        <v>2</v>
      </c>
      <c r="BZ16" s="16" t="n">
        <f aca="false">IF($AU16="","",INDEX(Codes!$E$2:$E$108,MATCH("B8|"&amp;$AU16,Codes!$A$2:$A$108,0)))</f>
        <v>1</v>
      </c>
      <c r="CA16" s="16" t="n">
        <f aca="false">IF($H16="","",INDEX(Codes!$E$2:$E$108,MATCH("A6|"&amp;$H16,Codes!$A$2:$A$108,0)))</f>
        <v>3</v>
      </c>
      <c r="CB16" s="16" t="n">
        <f aca="false">IF($X16="","",IF($X16="phone",1,0))</f>
        <v>1</v>
      </c>
      <c r="CC16" s="16" t="n">
        <f aca="false">IF($BC16="","",8-$BC16)</f>
        <v>6</v>
      </c>
      <c r="CD16" s="12" t="s">
        <v>643</v>
      </c>
      <c r="CE16" s="12" t="n">
        <v>-2.239</v>
      </c>
      <c r="CF16" s="12" t="n">
        <v>-0.635</v>
      </c>
    </row>
    <row r="17" customFormat="false" ht="15" hidden="false" customHeight="false" outlineLevel="0" collapsed="false">
      <c r="A17" s="12" t="s">
        <v>675</v>
      </c>
      <c r="B17" s="12" t="s">
        <v>676</v>
      </c>
      <c r="C17" s="12" t="s">
        <v>271</v>
      </c>
      <c r="D17" s="12" t="s">
        <v>289</v>
      </c>
      <c r="E17" s="12" t="s">
        <v>305</v>
      </c>
      <c r="F17" s="12" t="s">
        <v>315</v>
      </c>
      <c r="G17" s="12" t="s">
        <v>336</v>
      </c>
      <c r="H17" s="12" t="s">
        <v>349</v>
      </c>
      <c r="I17" s="12" t="s">
        <v>359</v>
      </c>
      <c r="J17" s="12" t="n">
        <v>1</v>
      </c>
      <c r="K17" s="12" t="n">
        <v>0</v>
      </c>
      <c r="L17" s="12" t="n">
        <v>0</v>
      </c>
      <c r="M17" s="12" t="n">
        <v>0</v>
      </c>
      <c r="N17" s="12" t="n">
        <v>0</v>
      </c>
      <c r="O17" s="12" t="n">
        <v>0</v>
      </c>
      <c r="P17" s="12" t="n">
        <v>0</v>
      </c>
      <c r="Q17" s="12" t="n">
        <v>6</v>
      </c>
      <c r="R17" s="12" t="s">
        <v>401</v>
      </c>
      <c r="S17" s="12" t="n">
        <v>1</v>
      </c>
      <c r="T17" s="12" t="n">
        <v>0</v>
      </c>
      <c r="U17" s="12" t="n">
        <v>0</v>
      </c>
      <c r="V17" s="12" t="n">
        <v>1</v>
      </c>
      <c r="W17" s="12" t="n">
        <v>0</v>
      </c>
      <c r="X17" s="12" t="s">
        <v>424</v>
      </c>
      <c r="Y17" s="12" t="s">
        <v>428</v>
      </c>
      <c r="Z17" s="12" t="n">
        <v>1</v>
      </c>
      <c r="AA17" s="12" t="n">
        <v>1</v>
      </c>
      <c r="AB17" s="12" t="n">
        <v>1</v>
      </c>
      <c r="AC17" s="12" t="n">
        <v>1</v>
      </c>
      <c r="AD17" s="12" t="n">
        <v>1</v>
      </c>
      <c r="AE17" s="12" t="n">
        <v>0</v>
      </c>
      <c r="AF17" s="12" t="n">
        <v>0</v>
      </c>
      <c r="AG17" s="12" t="n">
        <v>0</v>
      </c>
      <c r="AH17" s="12" t="n">
        <v>0</v>
      </c>
      <c r="AI17" s="12" t="n">
        <v>0</v>
      </c>
      <c r="AJ17" s="12" t="n">
        <v>0</v>
      </c>
      <c r="AK17" s="12" t="n">
        <v>0</v>
      </c>
      <c r="AL17" s="12" t="n">
        <v>1</v>
      </c>
      <c r="AM17" s="12" t="n">
        <v>0</v>
      </c>
      <c r="AN17" s="12" t="n">
        <v>1</v>
      </c>
      <c r="AO17" s="12" t="n">
        <v>0</v>
      </c>
      <c r="AP17" s="12" t="n">
        <v>0</v>
      </c>
      <c r="AQ17" s="12" t="n">
        <v>0</v>
      </c>
      <c r="AR17" s="12" t="n">
        <v>0</v>
      </c>
      <c r="AS17" s="12" t="n">
        <v>0</v>
      </c>
      <c r="AT17" s="12" t="s">
        <v>483</v>
      </c>
      <c r="AU17" s="12" t="s">
        <v>356</v>
      </c>
      <c r="AV17" s="12" t="n">
        <v>0</v>
      </c>
      <c r="AW17" s="12" t="n">
        <v>1</v>
      </c>
      <c r="AX17" s="12" t="n">
        <v>0</v>
      </c>
      <c r="AY17" s="12" t="n">
        <v>1</v>
      </c>
      <c r="AZ17" s="12" t="n">
        <v>1</v>
      </c>
      <c r="BA17" s="12" t="n">
        <v>0</v>
      </c>
      <c r="BB17" s="12" t="n">
        <v>5</v>
      </c>
      <c r="BC17" s="12" t="n">
        <v>3</v>
      </c>
      <c r="BD17" s="12" t="n">
        <v>6</v>
      </c>
      <c r="BE17" s="12" t="n">
        <v>6</v>
      </c>
      <c r="BF17" s="12" t="n">
        <v>2</v>
      </c>
      <c r="BG17" s="12" t="n">
        <v>2</v>
      </c>
      <c r="BH17" s="12" t="n">
        <v>5</v>
      </c>
      <c r="BI17" s="12" t="n">
        <v>7</v>
      </c>
      <c r="BJ17" s="12" t="n">
        <v>4</v>
      </c>
      <c r="BK17" s="12" t="n">
        <v>3</v>
      </c>
      <c r="BL17" s="12" t="n">
        <v>4</v>
      </c>
      <c r="BM17" s="12" t="n">
        <v>3</v>
      </c>
      <c r="BN17" s="12" t="n">
        <v>3</v>
      </c>
      <c r="BO17" s="12" t="n">
        <v>1</v>
      </c>
      <c r="BP17" s="12" t="n">
        <v>2</v>
      </c>
      <c r="BQ17" s="12" t="n">
        <v>4</v>
      </c>
      <c r="BR17" s="12" t="n">
        <v>5</v>
      </c>
      <c r="BS17" s="12" t="n">
        <v>6</v>
      </c>
      <c r="BT17" s="12" t="s">
        <v>677</v>
      </c>
      <c r="BU17" s="12" t="s">
        <v>678</v>
      </c>
      <c r="BV17" s="12"/>
      <c r="BW17" s="16" t="n">
        <f aca="false">IF($R17="","",INDEX(Codes!$E$2:$E$108,MATCH("B1|"&amp;$R17,Codes!$A$2:$A$108,0)))</f>
        <v>5</v>
      </c>
      <c r="BX17" s="16" t="n">
        <f aca="false">IF($Y17="","",INDEX(Codes!$E$2:$E$108,MATCH("B4|"&amp;$Y17,Codes!$A$2:$A$108,0)))</f>
        <v>1</v>
      </c>
      <c r="BY17" s="16" t="n">
        <f aca="false">IF($I17="","",INDEX(Codes!$E$2:$E$108,MATCH("A7|"&amp;$I17,Codes!$A$2:$A$108,0)))</f>
        <v>1</v>
      </c>
      <c r="BZ17" s="16" t="n">
        <f aca="false">IF($AU17="","",INDEX(Codes!$E$2:$E$108,MATCH("B8|"&amp;$AU17,Codes!$A$2:$A$108,0)))</f>
        <v>0</v>
      </c>
      <c r="CA17" s="16" t="n">
        <f aca="false">IF($H17="","",INDEX(Codes!$E$2:$E$108,MATCH("A6|"&amp;$H17,Codes!$A$2:$A$108,0)))</f>
        <v>4</v>
      </c>
      <c r="CB17" s="16" t="n">
        <f aca="false">IF($X17="","",IF($X17="phone",1,0))</f>
        <v>1</v>
      </c>
      <c r="CC17" s="16" t="n">
        <f aca="false">IF($BC17="","",8-$BC17)</f>
        <v>5</v>
      </c>
      <c r="CD17" s="12" t="s">
        <v>643</v>
      </c>
      <c r="CE17" s="12" t="n">
        <v>-3.233</v>
      </c>
      <c r="CF17" s="12" t="n">
        <v>-0.566</v>
      </c>
    </row>
    <row r="18" customFormat="false" ht="15" hidden="false" customHeight="false" outlineLevel="0" collapsed="false">
      <c r="A18" s="12" t="s">
        <v>679</v>
      </c>
      <c r="B18" s="12" t="s">
        <v>680</v>
      </c>
      <c r="C18" s="12" t="s">
        <v>271</v>
      </c>
      <c r="D18" s="12" t="s">
        <v>291</v>
      </c>
      <c r="E18" s="12" t="s">
        <v>305</v>
      </c>
      <c r="F18" s="12" t="s">
        <v>324</v>
      </c>
      <c r="G18" s="12" t="s">
        <v>333</v>
      </c>
      <c r="H18" s="12" t="s">
        <v>349</v>
      </c>
      <c r="I18" s="12" t="s">
        <v>362</v>
      </c>
      <c r="J18" s="12" t="n">
        <v>1</v>
      </c>
      <c r="K18" s="12" t="n">
        <v>0</v>
      </c>
      <c r="L18" s="12" t="n">
        <v>0</v>
      </c>
      <c r="M18" s="12" t="n">
        <v>0</v>
      </c>
      <c r="N18" s="12" t="n">
        <v>0</v>
      </c>
      <c r="O18" s="12" t="n">
        <v>0</v>
      </c>
      <c r="P18" s="12" t="n">
        <v>0</v>
      </c>
      <c r="Q18" s="12" t="n">
        <v>7</v>
      </c>
      <c r="R18" s="12" t="s">
        <v>401</v>
      </c>
      <c r="S18" s="12" t="n">
        <v>1</v>
      </c>
      <c r="T18" s="12" t="n">
        <v>0</v>
      </c>
      <c r="U18" s="12" t="n">
        <v>0</v>
      </c>
      <c r="V18" s="12" t="n">
        <v>1</v>
      </c>
      <c r="W18" s="12" t="n">
        <v>0</v>
      </c>
      <c r="X18" s="12" t="s">
        <v>424</v>
      </c>
      <c r="Y18" s="12" t="s">
        <v>428</v>
      </c>
      <c r="Z18" s="12" t="n">
        <v>1</v>
      </c>
      <c r="AA18" s="12" t="n">
        <v>1</v>
      </c>
      <c r="AB18" s="12" t="n">
        <v>1</v>
      </c>
      <c r="AC18" s="12" t="n">
        <v>0</v>
      </c>
      <c r="AD18" s="12" t="n">
        <v>0</v>
      </c>
      <c r="AE18" s="12" t="n">
        <v>0</v>
      </c>
      <c r="AF18" s="12" t="n">
        <v>0</v>
      </c>
      <c r="AG18" s="12" t="n">
        <v>1</v>
      </c>
      <c r="AH18" s="12" t="n">
        <v>0</v>
      </c>
      <c r="AI18" s="12" t="n">
        <v>0</v>
      </c>
      <c r="AJ18" s="12" t="n">
        <v>0</v>
      </c>
      <c r="AK18" s="12" t="n">
        <v>0</v>
      </c>
      <c r="AL18" s="12" t="n">
        <v>1</v>
      </c>
      <c r="AM18" s="12" t="n">
        <v>1</v>
      </c>
      <c r="AN18" s="12" t="n">
        <v>0</v>
      </c>
      <c r="AO18" s="12" t="n">
        <v>1</v>
      </c>
      <c r="AP18" s="12" t="n">
        <v>0</v>
      </c>
      <c r="AQ18" s="12" t="n">
        <v>0</v>
      </c>
      <c r="AR18" s="12" t="n">
        <v>0</v>
      </c>
      <c r="AS18" s="12" t="n">
        <v>0</v>
      </c>
      <c r="AT18" s="12" t="s">
        <v>504</v>
      </c>
      <c r="AU18" s="12" t="s">
        <v>343</v>
      </c>
      <c r="AV18" s="12" t="n">
        <v>0</v>
      </c>
      <c r="AW18" s="12" t="n">
        <v>1</v>
      </c>
      <c r="AX18" s="12" t="n">
        <v>0</v>
      </c>
      <c r="AY18" s="12" t="n">
        <v>1</v>
      </c>
      <c r="AZ18" s="12" t="n">
        <v>1</v>
      </c>
      <c r="BA18" s="12" t="n">
        <v>0</v>
      </c>
      <c r="BB18" s="12" t="n">
        <v>4</v>
      </c>
      <c r="BC18" s="12" t="n">
        <v>3</v>
      </c>
      <c r="BD18" s="12" t="n">
        <v>5</v>
      </c>
      <c r="BE18" s="12" t="n">
        <v>7</v>
      </c>
      <c r="BF18" s="12" t="n">
        <v>3</v>
      </c>
      <c r="BG18" s="12" t="n">
        <v>5</v>
      </c>
      <c r="BH18" s="12" t="n">
        <v>5</v>
      </c>
      <c r="BI18" s="12" t="n">
        <v>3</v>
      </c>
      <c r="BJ18" s="12" t="n">
        <v>5</v>
      </c>
      <c r="BK18" s="12" t="n">
        <v>5</v>
      </c>
      <c r="BL18" s="12" t="n">
        <v>5</v>
      </c>
      <c r="BM18" s="12" t="n">
        <v>3</v>
      </c>
      <c r="BN18" s="12" t="n">
        <v>4</v>
      </c>
      <c r="BO18" s="12" t="n">
        <v>1</v>
      </c>
      <c r="BP18" s="12" t="n">
        <v>3</v>
      </c>
      <c r="BQ18" s="12" t="n">
        <v>2</v>
      </c>
      <c r="BR18" s="12" t="n">
        <v>5</v>
      </c>
      <c r="BS18" s="12" t="n">
        <v>6</v>
      </c>
      <c r="BT18" s="12" t="s">
        <v>681</v>
      </c>
      <c r="BU18" s="12" t="s">
        <v>682</v>
      </c>
      <c r="BV18" s="12"/>
      <c r="BW18" s="16" t="n">
        <f aca="false">IF($R18="","",INDEX(Codes!$E$2:$E$108,MATCH("B1|"&amp;$R18,Codes!$A$2:$A$108,0)))</f>
        <v>5</v>
      </c>
      <c r="BX18" s="16" t="n">
        <f aca="false">IF($Y18="","",INDEX(Codes!$E$2:$E$108,MATCH("B4|"&amp;$Y18,Codes!$A$2:$A$108,0)))</f>
        <v>1</v>
      </c>
      <c r="BY18" s="16" t="n">
        <f aca="false">IF($I18="","",INDEX(Codes!$E$2:$E$108,MATCH("A7|"&amp;$I18,Codes!$A$2:$A$108,0)))</f>
        <v>2</v>
      </c>
      <c r="BZ18" s="16" t="n">
        <f aca="false">IF($AU18="","",INDEX(Codes!$E$2:$E$108,MATCH("B8|"&amp;$AU18,Codes!$A$2:$A$108,0)))</f>
        <v>1</v>
      </c>
      <c r="CA18" s="16" t="n">
        <f aca="false">IF($H18="","",INDEX(Codes!$E$2:$E$108,MATCH("A6|"&amp;$H18,Codes!$A$2:$A$108,0)))</f>
        <v>4</v>
      </c>
      <c r="CB18" s="16" t="n">
        <f aca="false">IF($X18="","",IF($X18="phone",1,0))</f>
        <v>1</v>
      </c>
      <c r="CC18" s="16" t="n">
        <f aca="false">IF($BC18="","",8-$BC18)</f>
        <v>5</v>
      </c>
      <c r="CD18" s="12" t="s">
        <v>643</v>
      </c>
      <c r="CE18" s="12" t="n">
        <v>-3.206</v>
      </c>
      <c r="CF18" s="12" t="n">
        <v>-2.275</v>
      </c>
    </row>
    <row r="19" customFormat="false" ht="15" hidden="false" customHeight="false" outlineLevel="0" collapsed="false">
      <c r="A19" s="12" t="s">
        <v>683</v>
      </c>
      <c r="B19" s="12" t="s">
        <v>684</v>
      </c>
      <c r="C19" s="12" t="s">
        <v>274</v>
      </c>
      <c r="D19" s="12" t="s">
        <v>293</v>
      </c>
      <c r="E19" s="12" t="s">
        <v>308</v>
      </c>
      <c r="F19" s="12" t="s">
        <v>324</v>
      </c>
      <c r="G19" s="12" t="s">
        <v>333</v>
      </c>
      <c r="H19" s="12" t="s">
        <v>349</v>
      </c>
      <c r="I19" s="12" t="s">
        <v>362</v>
      </c>
      <c r="J19" s="12" t="n">
        <v>1</v>
      </c>
      <c r="K19" s="12" t="n">
        <v>0</v>
      </c>
      <c r="L19" s="12" t="n">
        <v>0</v>
      </c>
      <c r="M19" s="12" t="n">
        <v>0</v>
      </c>
      <c r="N19" s="12" t="n">
        <v>0</v>
      </c>
      <c r="O19" s="12" t="n">
        <v>0</v>
      </c>
      <c r="P19" s="12" t="n">
        <v>0</v>
      </c>
      <c r="Q19" s="12" t="n">
        <v>4</v>
      </c>
      <c r="R19" s="12" t="s">
        <v>398</v>
      </c>
      <c r="S19" s="12" t="n">
        <v>1</v>
      </c>
      <c r="T19" s="12" t="n">
        <v>0</v>
      </c>
      <c r="U19" s="12" t="n">
        <v>0</v>
      </c>
      <c r="V19" s="12" t="n">
        <v>1</v>
      </c>
      <c r="W19" s="12" t="n">
        <v>1</v>
      </c>
      <c r="X19" s="12" t="s">
        <v>407</v>
      </c>
      <c r="Y19" s="12" t="s">
        <v>434</v>
      </c>
      <c r="Z19" s="12" t="n">
        <v>1</v>
      </c>
      <c r="AA19" s="12" t="n">
        <v>1</v>
      </c>
      <c r="AB19" s="12" t="n">
        <v>0</v>
      </c>
      <c r="AC19" s="12" t="n">
        <v>1</v>
      </c>
      <c r="AD19" s="12" t="n">
        <v>1</v>
      </c>
      <c r="AE19" s="12" t="n">
        <v>0</v>
      </c>
      <c r="AF19" s="12" t="n">
        <v>1</v>
      </c>
      <c r="AG19" s="12" t="n">
        <v>1</v>
      </c>
      <c r="AH19" s="12" t="n">
        <v>1</v>
      </c>
      <c r="AI19" s="12" t="n">
        <v>1</v>
      </c>
      <c r="AJ19" s="12" t="n">
        <v>0</v>
      </c>
      <c r="AK19" s="12" t="n">
        <v>0</v>
      </c>
      <c r="AL19" s="12" t="n">
        <v>0</v>
      </c>
      <c r="AM19" s="12" t="n">
        <v>0</v>
      </c>
      <c r="AN19" s="12" t="n">
        <v>0</v>
      </c>
      <c r="AO19" s="12" t="n">
        <v>0</v>
      </c>
      <c r="AP19" s="12" t="n">
        <v>0</v>
      </c>
      <c r="AQ19" s="12" t="n">
        <v>1</v>
      </c>
      <c r="AR19" s="12" t="n">
        <v>0</v>
      </c>
      <c r="AS19" s="12" t="n">
        <v>1</v>
      </c>
      <c r="AT19" s="12" t="s">
        <v>480</v>
      </c>
      <c r="AU19" s="12" t="s">
        <v>343</v>
      </c>
      <c r="AV19" s="12" t="n">
        <v>1</v>
      </c>
      <c r="AW19" s="12" t="n">
        <v>0</v>
      </c>
      <c r="AX19" s="12" t="n">
        <v>1</v>
      </c>
      <c r="AY19" s="12" t="n">
        <v>0</v>
      </c>
      <c r="AZ19" s="12" t="n">
        <v>0</v>
      </c>
      <c r="BA19" s="12" t="n">
        <v>0</v>
      </c>
      <c r="BB19" s="12" t="n">
        <v>3</v>
      </c>
      <c r="BC19" s="12" t="n">
        <v>4</v>
      </c>
      <c r="BD19" s="12" t="n">
        <v>5</v>
      </c>
      <c r="BE19" s="12" t="n">
        <v>5</v>
      </c>
      <c r="BF19" s="12" t="n">
        <v>3</v>
      </c>
      <c r="BG19" s="12" t="n">
        <v>2</v>
      </c>
      <c r="BH19" s="12" t="n">
        <v>4</v>
      </c>
      <c r="BI19" s="12" t="n">
        <v>6</v>
      </c>
      <c r="BJ19" s="12" t="n">
        <v>6</v>
      </c>
      <c r="BK19" s="12" t="n">
        <v>2</v>
      </c>
      <c r="BL19" s="12" t="n">
        <v>4</v>
      </c>
      <c r="BM19" s="12" t="n">
        <v>4</v>
      </c>
      <c r="BN19" s="12" t="n">
        <v>1</v>
      </c>
      <c r="BO19" s="12" t="n">
        <v>3</v>
      </c>
      <c r="BP19" s="12" t="n">
        <v>4</v>
      </c>
      <c r="BQ19" s="12" t="n">
        <v>6</v>
      </c>
      <c r="BR19" s="12" t="n">
        <v>2</v>
      </c>
      <c r="BS19" s="12" t="n">
        <v>5</v>
      </c>
      <c r="BT19" s="12" t="s">
        <v>685</v>
      </c>
      <c r="BU19" s="12" t="s">
        <v>686</v>
      </c>
      <c r="BV19" s="12"/>
      <c r="BW19" s="16" t="n">
        <f aca="false">IF($R19="","",INDEX(Codes!$E$2:$E$108,MATCH("B1|"&amp;$R19,Codes!$A$2:$A$108,0)))</f>
        <v>4</v>
      </c>
      <c r="BX19" s="16" t="n">
        <f aca="false">IF($Y19="","",INDEX(Codes!$E$2:$E$108,MATCH("B4|"&amp;$Y19,Codes!$A$2:$A$108,0)))</f>
        <v>3</v>
      </c>
      <c r="BY19" s="16" t="n">
        <f aca="false">IF($I19="","",INDEX(Codes!$E$2:$E$108,MATCH("A7|"&amp;$I19,Codes!$A$2:$A$108,0)))</f>
        <v>2</v>
      </c>
      <c r="BZ19" s="16" t="n">
        <f aca="false">IF($AU19="","",INDEX(Codes!$E$2:$E$108,MATCH("B8|"&amp;$AU19,Codes!$A$2:$A$108,0)))</f>
        <v>1</v>
      </c>
      <c r="CA19" s="16" t="n">
        <f aca="false">IF($H19="","",INDEX(Codes!$E$2:$E$108,MATCH("A6|"&amp;$H19,Codes!$A$2:$A$108,0)))</f>
        <v>4</v>
      </c>
      <c r="CB19" s="16" t="n">
        <f aca="false">IF($X19="","",IF($X19="phone",1,0))</f>
        <v>0</v>
      </c>
      <c r="CC19" s="16" t="n">
        <f aca="false">IF($BC19="","",8-$BC19)</f>
        <v>4</v>
      </c>
      <c r="CD19" s="12" t="s">
        <v>620</v>
      </c>
      <c r="CE19" s="12" t="n">
        <v>0.704</v>
      </c>
      <c r="CF19" s="12" t="n">
        <v>1.077</v>
      </c>
    </row>
    <row r="20" customFormat="false" ht="15" hidden="false" customHeight="false" outlineLevel="0" collapsed="false">
      <c r="A20" s="12" t="s">
        <v>687</v>
      </c>
      <c r="B20" s="12" t="s">
        <v>688</v>
      </c>
      <c r="C20" s="12" t="s">
        <v>274</v>
      </c>
      <c r="D20" s="12" t="s">
        <v>295</v>
      </c>
      <c r="E20" s="12" t="s">
        <v>308</v>
      </c>
      <c r="F20" s="12" t="s">
        <v>318</v>
      </c>
      <c r="G20" s="12" t="s">
        <v>339</v>
      </c>
      <c r="H20" s="12" t="s">
        <v>345</v>
      </c>
      <c r="I20" s="12" t="s">
        <v>356</v>
      </c>
      <c r="J20" s="12" t="n">
        <v>1</v>
      </c>
      <c r="K20" s="12" t="n">
        <v>0</v>
      </c>
      <c r="L20" s="12" t="n">
        <v>0</v>
      </c>
      <c r="M20" s="12" t="n">
        <v>0</v>
      </c>
      <c r="N20" s="12" t="n">
        <v>0</v>
      </c>
      <c r="O20" s="12" t="n">
        <v>0</v>
      </c>
      <c r="P20" s="12" t="n">
        <v>0</v>
      </c>
      <c r="Q20" s="12" t="n">
        <v>5</v>
      </c>
      <c r="R20" s="12" t="s">
        <v>404</v>
      </c>
      <c r="S20" s="12" t="n">
        <v>1</v>
      </c>
      <c r="T20" s="12" t="n">
        <v>0</v>
      </c>
      <c r="U20" s="12" t="n">
        <v>1</v>
      </c>
      <c r="V20" s="12" t="n">
        <v>0</v>
      </c>
      <c r="W20" s="12" t="n">
        <v>0</v>
      </c>
      <c r="X20" s="12" t="s">
        <v>407</v>
      </c>
      <c r="Y20" s="12" t="s">
        <v>440</v>
      </c>
      <c r="Z20" s="12" t="n">
        <v>0</v>
      </c>
      <c r="AA20" s="12" t="n">
        <v>1</v>
      </c>
      <c r="AB20" s="12" t="n">
        <v>0</v>
      </c>
      <c r="AC20" s="12" t="n">
        <v>1</v>
      </c>
      <c r="AD20" s="12" t="n">
        <v>0</v>
      </c>
      <c r="AE20" s="12" t="n">
        <v>0</v>
      </c>
      <c r="AF20" s="12" t="n">
        <v>1</v>
      </c>
      <c r="AG20" s="12" t="n">
        <v>0</v>
      </c>
      <c r="AH20" s="12" t="n">
        <v>1</v>
      </c>
      <c r="AI20" s="12" t="n">
        <v>1</v>
      </c>
      <c r="AJ20" s="12" t="n">
        <v>1</v>
      </c>
      <c r="AK20" s="12" t="n">
        <v>0</v>
      </c>
      <c r="AL20" s="12" t="n">
        <v>1</v>
      </c>
      <c r="AM20" s="12" t="n">
        <v>0</v>
      </c>
      <c r="AN20" s="12" t="n">
        <v>0</v>
      </c>
      <c r="AO20" s="12" t="n">
        <v>0</v>
      </c>
      <c r="AP20" s="12" t="n">
        <v>0</v>
      </c>
      <c r="AQ20" s="12" t="n">
        <v>0</v>
      </c>
      <c r="AR20" s="12" t="n">
        <v>1</v>
      </c>
      <c r="AS20" s="12" t="n">
        <v>0</v>
      </c>
      <c r="AT20" s="12" t="s">
        <v>504</v>
      </c>
      <c r="AU20" s="12" t="s">
        <v>356</v>
      </c>
      <c r="AV20" s="12" t="n">
        <v>0</v>
      </c>
      <c r="AW20" s="12" t="n">
        <v>1</v>
      </c>
      <c r="AX20" s="12" t="n">
        <v>1</v>
      </c>
      <c r="AY20" s="12" t="n">
        <v>1</v>
      </c>
      <c r="AZ20" s="12" t="n">
        <v>1</v>
      </c>
      <c r="BA20" s="12" t="n">
        <v>0</v>
      </c>
      <c r="BB20" s="12" t="n">
        <v>1</v>
      </c>
      <c r="BC20" s="12" t="n">
        <v>7</v>
      </c>
      <c r="BD20" s="12" t="n">
        <v>3</v>
      </c>
      <c r="BE20" s="12" t="n">
        <v>5</v>
      </c>
      <c r="BF20" s="12" t="n">
        <v>5</v>
      </c>
      <c r="BG20" s="12" t="n">
        <v>3</v>
      </c>
      <c r="BH20" s="12" t="n">
        <v>4</v>
      </c>
      <c r="BI20" s="12" t="n">
        <v>5</v>
      </c>
      <c r="BJ20" s="12" t="n">
        <v>6</v>
      </c>
      <c r="BK20" s="12" t="n">
        <v>3</v>
      </c>
      <c r="BL20" s="12" t="n">
        <v>3</v>
      </c>
      <c r="BM20" s="12" t="n">
        <v>2</v>
      </c>
      <c r="BN20" s="12" t="n">
        <v>1</v>
      </c>
      <c r="BO20" s="12" t="n">
        <v>3</v>
      </c>
      <c r="BP20" s="12" t="n">
        <v>4</v>
      </c>
      <c r="BQ20" s="12" t="n">
        <v>6</v>
      </c>
      <c r="BR20" s="12" t="n">
        <v>2</v>
      </c>
      <c r="BS20" s="12" t="n">
        <v>5</v>
      </c>
      <c r="BT20" s="12" t="s">
        <v>689</v>
      </c>
      <c r="BU20" s="12"/>
      <c r="BV20" s="12" t="s">
        <v>625</v>
      </c>
      <c r="BW20" s="16" t="n">
        <f aca="false">IF($R20="","",INDEX(Codes!$E$2:$E$108,MATCH("B1|"&amp;$R20,Codes!$A$2:$A$108,0)))</f>
        <v>6</v>
      </c>
      <c r="BX20" s="16" t="n">
        <f aca="false">IF($Y20="","",INDEX(Codes!$E$2:$E$108,MATCH("B4|"&amp;$Y20,Codes!$A$2:$A$108,0)))</f>
        <v>5</v>
      </c>
      <c r="BY20" s="16" t="n">
        <f aca="false">IF($I20="","",INDEX(Codes!$E$2:$E$108,MATCH("A7|"&amp;$I20,Codes!$A$2:$A$108,0)))</f>
        <v>0</v>
      </c>
      <c r="BZ20" s="16" t="n">
        <f aca="false">IF($AU20="","",INDEX(Codes!$E$2:$E$108,MATCH("B8|"&amp;$AU20,Codes!$A$2:$A$108,0)))</f>
        <v>0</v>
      </c>
      <c r="CA20" s="16" t="n">
        <f aca="false">IF($H20="","",INDEX(Codes!$E$2:$E$108,MATCH("A6|"&amp;$H20,Codes!$A$2:$A$108,0)))</f>
        <v>2</v>
      </c>
      <c r="CB20" s="16" t="n">
        <f aca="false">IF($X20="","",IF($X20="phone",1,0))</f>
        <v>0</v>
      </c>
      <c r="CC20" s="16" t="n">
        <f aca="false">IF($BC20="","",8-$BC20)</f>
        <v>1</v>
      </c>
      <c r="CD20" s="12" t="s">
        <v>620</v>
      </c>
      <c r="CE20" s="12" t="n">
        <v>2.556</v>
      </c>
      <c r="CF20" s="12" t="n">
        <v>1.847</v>
      </c>
    </row>
    <row r="21" customFormat="false" ht="15" hidden="false" customHeight="false" outlineLevel="0" collapsed="false">
      <c r="A21" s="12" t="s">
        <v>690</v>
      </c>
      <c r="B21" s="12" t="s">
        <v>691</v>
      </c>
      <c r="C21" s="12" t="s">
        <v>274</v>
      </c>
      <c r="D21" s="12" t="s">
        <v>289</v>
      </c>
      <c r="E21" s="12" t="s">
        <v>305</v>
      </c>
      <c r="F21" s="12" t="s">
        <v>321</v>
      </c>
      <c r="G21" s="12" t="s">
        <v>336</v>
      </c>
      <c r="H21" s="12" t="s">
        <v>345</v>
      </c>
      <c r="I21" s="12" t="s">
        <v>356</v>
      </c>
      <c r="J21" s="12" t="n">
        <v>1</v>
      </c>
      <c r="K21" s="12" t="n">
        <v>0</v>
      </c>
      <c r="L21" s="12" t="n">
        <v>0</v>
      </c>
      <c r="M21" s="12" t="n">
        <v>0</v>
      </c>
      <c r="N21" s="12" t="n">
        <v>0</v>
      </c>
      <c r="O21" s="12" t="n">
        <v>0</v>
      </c>
      <c r="P21" s="12" t="n">
        <v>0</v>
      </c>
      <c r="Q21" s="12" t="n">
        <v>5</v>
      </c>
      <c r="R21" s="12" t="s">
        <v>404</v>
      </c>
      <c r="S21" s="12" t="n">
        <v>1</v>
      </c>
      <c r="T21" s="12" t="n">
        <v>0</v>
      </c>
      <c r="U21" s="12" t="n">
        <v>1</v>
      </c>
      <c r="V21" s="12" t="n">
        <v>0</v>
      </c>
      <c r="W21" s="12" t="n">
        <v>0</v>
      </c>
      <c r="X21" s="12" t="s">
        <v>424</v>
      </c>
      <c r="Y21" s="12" t="s">
        <v>431</v>
      </c>
      <c r="Z21" s="12" t="n">
        <v>1</v>
      </c>
      <c r="AA21" s="12" t="n">
        <v>0</v>
      </c>
      <c r="AB21" s="12" t="n">
        <v>1</v>
      </c>
      <c r="AC21" s="12" t="n">
        <v>1</v>
      </c>
      <c r="AD21" s="12" t="n">
        <v>1</v>
      </c>
      <c r="AE21" s="12" t="n">
        <v>0</v>
      </c>
      <c r="AF21" s="12" t="n">
        <v>0</v>
      </c>
      <c r="AG21" s="12" t="n">
        <v>0</v>
      </c>
      <c r="AH21" s="12" t="n">
        <v>1</v>
      </c>
      <c r="AI21" s="12" t="n">
        <v>0</v>
      </c>
      <c r="AJ21" s="12" t="n">
        <v>0</v>
      </c>
      <c r="AK21" s="12" t="n">
        <v>0</v>
      </c>
      <c r="AL21" s="12" t="n">
        <v>0</v>
      </c>
      <c r="AM21" s="12" t="n">
        <v>0</v>
      </c>
      <c r="AN21" s="12" t="n">
        <v>0</v>
      </c>
      <c r="AO21" s="12" t="n">
        <v>0</v>
      </c>
      <c r="AP21" s="12" t="n">
        <v>0</v>
      </c>
      <c r="AQ21" s="12" t="n">
        <v>0</v>
      </c>
      <c r="AR21" s="12" t="n">
        <v>1</v>
      </c>
      <c r="AS21" s="12" t="n">
        <v>0</v>
      </c>
      <c r="AT21" s="12" t="s">
        <v>483</v>
      </c>
      <c r="AU21" s="12" t="s">
        <v>395</v>
      </c>
      <c r="AV21" s="12" t="n">
        <v>0</v>
      </c>
      <c r="AW21" s="12" t="n">
        <v>0</v>
      </c>
      <c r="AX21" s="12" t="n">
        <v>0</v>
      </c>
      <c r="AY21" s="12" t="n">
        <v>1</v>
      </c>
      <c r="AZ21" s="12" t="n">
        <v>0</v>
      </c>
      <c r="BA21" s="12" t="n">
        <v>0</v>
      </c>
      <c r="BB21" s="12" t="n">
        <v>3</v>
      </c>
      <c r="BC21" s="12" t="n">
        <v>4</v>
      </c>
      <c r="BD21" s="12" t="n">
        <v>4</v>
      </c>
      <c r="BE21" s="12" t="n">
        <v>6</v>
      </c>
      <c r="BF21" s="12" t="n">
        <v>5</v>
      </c>
      <c r="BG21" s="12" t="n">
        <v>4</v>
      </c>
      <c r="BH21" s="12" t="n">
        <v>5</v>
      </c>
      <c r="BI21" s="12" t="n">
        <v>7</v>
      </c>
      <c r="BJ21" s="12" t="n">
        <v>4</v>
      </c>
      <c r="BK21" s="12" t="n">
        <v>2</v>
      </c>
      <c r="BL21" s="12" t="n">
        <v>4</v>
      </c>
      <c r="BM21" s="12" t="n">
        <v>3</v>
      </c>
      <c r="BN21" s="12" t="n">
        <v>3</v>
      </c>
      <c r="BO21" s="12" t="n">
        <v>1</v>
      </c>
      <c r="BP21" s="12" t="n">
        <v>2</v>
      </c>
      <c r="BQ21" s="12" t="n">
        <v>4</v>
      </c>
      <c r="BR21" s="12" t="n">
        <v>5</v>
      </c>
      <c r="BS21" s="12" t="n">
        <v>6</v>
      </c>
      <c r="BT21" s="12" t="s">
        <v>692</v>
      </c>
      <c r="BU21" s="12" t="s">
        <v>693</v>
      </c>
      <c r="BV21" s="12" t="s">
        <v>694</v>
      </c>
      <c r="BW21" s="16" t="n">
        <f aca="false">IF($R21="","",INDEX(Codes!$E$2:$E$108,MATCH("B1|"&amp;$R21,Codes!$A$2:$A$108,0)))</f>
        <v>6</v>
      </c>
      <c r="BX21" s="16" t="n">
        <f aca="false">IF($Y21="","",INDEX(Codes!$E$2:$E$108,MATCH("B4|"&amp;$Y21,Codes!$A$2:$A$108,0)))</f>
        <v>2</v>
      </c>
      <c r="BY21" s="16" t="n">
        <f aca="false">IF($I21="","",INDEX(Codes!$E$2:$E$108,MATCH("A7|"&amp;$I21,Codes!$A$2:$A$108,0)))</f>
        <v>0</v>
      </c>
      <c r="BZ21" s="16" t="n">
        <f aca="false">IF($AU21="","",INDEX(Codes!$E$2:$E$108,MATCH("B8|"&amp;$AU21,Codes!$A$2:$A$108,0)))</f>
        <v>2</v>
      </c>
      <c r="CA21" s="16" t="n">
        <f aca="false">IF($H21="","",INDEX(Codes!$E$2:$E$108,MATCH("A6|"&amp;$H21,Codes!$A$2:$A$108,0)))</f>
        <v>2</v>
      </c>
      <c r="CB21" s="16" t="n">
        <f aca="false">IF($X21="","",IF($X21="phone",1,0))</f>
        <v>1</v>
      </c>
      <c r="CC21" s="16" t="n">
        <f aca="false">IF($BC21="","",8-$BC21)</f>
        <v>4</v>
      </c>
      <c r="CD21" s="12" t="s">
        <v>643</v>
      </c>
      <c r="CE21" s="12" t="n">
        <v>-1.609</v>
      </c>
      <c r="CF21" s="12" t="n">
        <v>-0.673</v>
      </c>
    </row>
    <row r="22" customFormat="false" ht="15" hidden="false" customHeight="false" outlineLevel="0" collapsed="false">
      <c r="A22" s="12" t="s">
        <v>695</v>
      </c>
      <c r="B22" s="12" t="s">
        <v>696</v>
      </c>
      <c r="C22" s="12" t="s">
        <v>274</v>
      </c>
      <c r="D22" s="12" t="s">
        <v>291</v>
      </c>
      <c r="E22" s="12" t="s">
        <v>305</v>
      </c>
      <c r="F22" s="12" t="s">
        <v>315</v>
      </c>
      <c r="G22" s="12" t="s">
        <v>339</v>
      </c>
      <c r="H22" s="12" t="s">
        <v>345</v>
      </c>
      <c r="I22" s="12" t="s">
        <v>362</v>
      </c>
      <c r="J22" s="12" t="n">
        <v>0</v>
      </c>
      <c r="K22" s="12" t="n">
        <v>0</v>
      </c>
      <c r="L22" s="12" t="n">
        <v>0</v>
      </c>
      <c r="M22" s="12" t="n">
        <v>0</v>
      </c>
      <c r="N22" s="12" t="n">
        <v>0</v>
      </c>
      <c r="O22" s="12" t="n">
        <v>0</v>
      </c>
      <c r="P22" s="12" t="n">
        <v>1</v>
      </c>
      <c r="Q22" s="12" t="n">
        <v>5</v>
      </c>
      <c r="R22" s="12" t="s">
        <v>401</v>
      </c>
      <c r="S22" s="12" t="n">
        <v>1</v>
      </c>
      <c r="T22" s="12" t="n">
        <v>0</v>
      </c>
      <c r="U22" s="12" t="n">
        <v>0</v>
      </c>
      <c r="V22" s="12" t="n">
        <v>1</v>
      </c>
      <c r="W22" s="12" t="n">
        <v>0</v>
      </c>
      <c r="X22" s="12" t="s">
        <v>407</v>
      </c>
      <c r="Y22" s="12" t="s">
        <v>434</v>
      </c>
      <c r="Z22" s="12" t="n">
        <v>1</v>
      </c>
      <c r="AA22" s="12" t="n">
        <v>1</v>
      </c>
      <c r="AB22" s="12" t="n">
        <v>1</v>
      </c>
      <c r="AC22" s="12" t="n">
        <v>1</v>
      </c>
      <c r="AD22" s="12" t="n">
        <v>1</v>
      </c>
      <c r="AE22" s="12" t="n">
        <v>0</v>
      </c>
      <c r="AF22" s="12" t="n">
        <v>0</v>
      </c>
      <c r="AG22" s="12" t="n">
        <v>0</v>
      </c>
      <c r="AH22" s="12" t="n">
        <v>1</v>
      </c>
      <c r="AI22" s="12" t="n">
        <v>0</v>
      </c>
      <c r="AJ22" s="12" t="n">
        <v>0</v>
      </c>
      <c r="AK22" s="12" t="n">
        <v>0</v>
      </c>
      <c r="AL22" s="12" t="n">
        <v>0</v>
      </c>
      <c r="AM22" s="12" t="n">
        <v>0</v>
      </c>
      <c r="AN22" s="12" t="n">
        <v>1</v>
      </c>
      <c r="AO22" s="12" t="n">
        <v>0</v>
      </c>
      <c r="AP22" s="12" t="n">
        <v>1</v>
      </c>
      <c r="AQ22" s="12" t="n">
        <v>1</v>
      </c>
      <c r="AR22" s="12" t="n">
        <v>1</v>
      </c>
      <c r="AS22" s="12" t="n">
        <v>0</v>
      </c>
      <c r="AT22" s="12" t="s">
        <v>480</v>
      </c>
      <c r="AU22" s="12" t="s">
        <v>356</v>
      </c>
      <c r="AV22" s="12" t="n">
        <v>0</v>
      </c>
      <c r="AW22" s="12" t="n">
        <v>1</v>
      </c>
      <c r="AX22" s="12" t="n">
        <v>1</v>
      </c>
      <c r="AY22" s="12" t="n">
        <v>0</v>
      </c>
      <c r="AZ22" s="12" t="n">
        <v>0</v>
      </c>
      <c r="BA22" s="12" t="n">
        <v>0</v>
      </c>
      <c r="BB22" s="12" t="n">
        <v>3</v>
      </c>
      <c r="BC22" s="12" t="n">
        <v>5</v>
      </c>
      <c r="BD22" s="12" t="n">
        <v>4</v>
      </c>
      <c r="BE22" s="12" t="n">
        <v>6</v>
      </c>
      <c r="BF22" s="12" t="n">
        <v>4</v>
      </c>
      <c r="BG22" s="12" t="n">
        <v>1</v>
      </c>
      <c r="BH22" s="12" t="n">
        <v>5</v>
      </c>
      <c r="BI22" s="12" t="n">
        <v>6</v>
      </c>
      <c r="BJ22" s="12" t="n">
        <v>5</v>
      </c>
      <c r="BK22" s="12" t="n">
        <v>4</v>
      </c>
      <c r="BL22" s="12" t="n">
        <v>3</v>
      </c>
      <c r="BM22" s="12" t="n">
        <v>4</v>
      </c>
      <c r="BN22" s="12" t="n">
        <v>1</v>
      </c>
      <c r="BO22" s="12" t="n">
        <v>3</v>
      </c>
      <c r="BP22" s="12" t="n">
        <v>4</v>
      </c>
      <c r="BQ22" s="12" t="n">
        <v>6</v>
      </c>
      <c r="BR22" s="12" t="n">
        <v>2</v>
      </c>
      <c r="BS22" s="12" t="n">
        <v>5</v>
      </c>
      <c r="BT22" s="12" t="s">
        <v>623</v>
      </c>
      <c r="BU22" s="12" t="s">
        <v>697</v>
      </c>
      <c r="BV22" s="12"/>
      <c r="BW22" s="16" t="n">
        <f aca="false">IF($R22="","",INDEX(Codes!$E$2:$E$108,MATCH("B1|"&amp;$R22,Codes!$A$2:$A$108,0)))</f>
        <v>5</v>
      </c>
      <c r="BX22" s="16" t="n">
        <f aca="false">IF($Y22="","",INDEX(Codes!$E$2:$E$108,MATCH("B4|"&amp;$Y22,Codes!$A$2:$A$108,0)))</f>
        <v>3</v>
      </c>
      <c r="BY22" s="16" t="n">
        <f aca="false">IF($I22="","",INDEX(Codes!$E$2:$E$108,MATCH("A7|"&amp;$I22,Codes!$A$2:$A$108,0)))</f>
        <v>2</v>
      </c>
      <c r="BZ22" s="16" t="n">
        <f aca="false">IF($AU22="","",INDEX(Codes!$E$2:$E$108,MATCH("B8|"&amp;$AU22,Codes!$A$2:$A$108,0)))</f>
        <v>0</v>
      </c>
      <c r="CA22" s="16" t="n">
        <f aca="false">IF($H22="","",INDEX(Codes!$E$2:$E$108,MATCH("A6|"&amp;$H22,Codes!$A$2:$A$108,0)))</f>
        <v>2</v>
      </c>
      <c r="CB22" s="16" t="n">
        <f aca="false">IF($X22="","",IF($X22="phone",1,0))</f>
        <v>0</v>
      </c>
      <c r="CC22" s="16" t="n">
        <f aca="false">IF($BC22="","",8-$BC22)</f>
        <v>3</v>
      </c>
      <c r="CD22" s="12" t="s">
        <v>620</v>
      </c>
      <c r="CE22" s="12" t="n">
        <v>1.014</v>
      </c>
      <c r="CF22" s="12" t="n">
        <v>1.616</v>
      </c>
    </row>
    <row r="23" customFormat="false" ht="15" hidden="false" customHeight="false" outlineLevel="0" collapsed="false">
      <c r="A23" s="12" t="s">
        <v>698</v>
      </c>
      <c r="B23" s="12" t="s">
        <v>699</v>
      </c>
      <c r="C23" s="12" t="s">
        <v>277</v>
      </c>
      <c r="D23" s="12" t="s">
        <v>293</v>
      </c>
      <c r="E23" s="12" t="s">
        <v>305</v>
      </c>
      <c r="F23" s="12" t="s">
        <v>327</v>
      </c>
      <c r="G23" s="12" t="s">
        <v>333</v>
      </c>
      <c r="H23" s="12" t="s">
        <v>343</v>
      </c>
      <c r="I23" s="12" t="s">
        <v>356</v>
      </c>
      <c r="J23" s="12" t="n">
        <v>1</v>
      </c>
      <c r="K23" s="12" t="n">
        <v>0</v>
      </c>
      <c r="L23" s="12" t="n">
        <v>0</v>
      </c>
      <c r="M23" s="12" t="n">
        <v>0</v>
      </c>
      <c r="N23" s="12" t="n">
        <v>0</v>
      </c>
      <c r="O23" s="12" t="n">
        <v>0</v>
      </c>
      <c r="P23" s="12" t="n">
        <v>0</v>
      </c>
      <c r="Q23" s="12" t="n">
        <v>5</v>
      </c>
      <c r="R23" s="12" t="s">
        <v>398</v>
      </c>
      <c r="S23" s="12" t="n">
        <v>1</v>
      </c>
      <c r="T23" s="12" t="n">
        <v>0</v>
      </c>
      <c r="U23" s="12" t="n">
        <v>0</v>
      </c>
      <c r="V23" s="12" t="n">
        <v>1</v>
      </c>
      <c r="W23" s="12" t="n">
        <v>0</v>
      </c>
      <c r="X23" s="12" t="s">
        <v>407</v>
      </c>
      <c r="Y23" s="12" t="s">
        <v>440</v>
      </c>
      <c r="Z23" s="12" t="n">
        <v>0</v>
      </c>
      <c r="AA23" s="12" t="n">
        <v>1</v>
      </c>
      <c r="AB23" s="12" t="n">
        <v>0</v>
      </c>
      <c r="AC23" s="12" t="n">
        <v>1</v>
      </c>
      <c r="AD23" s="12" t="n">
        <v>1</v>
      </c>
      <c r="AE23" s="12" t="n">
        <v>1</v>
      </c>
      <c r="AF23" s="12" t="n">
        <v>0</v>
      </c>
      <c r="AG23" s="12" t="n">
        <v>1</v>
      </c>
      <c r="AH23" s="12" t="n">
        <v>0</v>
      </c>
      <c r="AI23" s="12" t="n">
        <v>0</v>
      </c>
      <c r="AJ23" s="12" t="n">
        <v>0</v>
      </c>
      <c r="AK23" s="12" t="n">
        <v>0</v>
      </c>
      <c r="AL23" s="12" t="n">
        <v>0</v>
      </c>
      <c r="AM23" s="12" t="n">
        <v>0</v>
      </c>
      <c r="AN23" s="12" t="n">
        <v>0</v>
      </c>
      <c r="AO23" s="12" t="n">
        <v>0</v>
      </c>
      <c r="AP23" s="12" t="n">
        <v>0</v>
      </c>
      <c r="AQ23" s="12" t="n">
        <v>0</v>
      </c>
      <c r="AR23" s="12" t="n">
        <v>1</v>
      </c>
      <c r="AS23" s="12" t="n">
        <v>0</v>
      </c>
      <c r="AT23" s="12" t="s">
        <v>483</v>
      </c>
      <c r="AU23" s="12" t="s">
        <v>395</v>
      </c>
      <c r="AV23" s="12" t="n">
        <v>0</v>
      </c>
      <c r="AW23" s="12" t="n">
        <v>1</v>
      </c>
      <c r="AX23" s="12" t="n">
        <v>1</v>
      </c>
      <c r="AY23" s="12" t="n">
        <v>0</v>
      </c>
      <c r="AZ23" s="12" t="n">
        <v>0</v>
      </c>
      <c r="BA23" s="12" t="n">
        <v>0</v>
      </c>
      <c r="BB23" s="12" t="n">
        <v>3</v>
      </c>
      <c r="BC23" s="12" t="n">
        <v>6</v>
      </c>
      <c r="BD23" s="12" t="n">
        <v>2</v>
      </c>
      <c r="BE23" s="12" t="n">
        <v>4</v>
      </c>
      <c r="BF23" s="12" t="n">
        <v>5</v>
      </c>
      <c r="BG23" s="12" t="n">
        <v>3</v>
      </c>
      <c r="BH23" s="12" t="n">
        <v>4</v>
      </c>
      <c r="BI23" s="12" t="n">
        <v>5</v>
      </c>
      <c r="BJ23" s="12" t="n">
        <v>5</v>
      </c>
      <c r="BK23" s="12" t="n">
        <v>5</v>
      </c>
      <c r="BL23" s="12" t="n">
        <v>3</v>
      </c>
      <c r="BM23" s="12" t="n">
        <v>4</v>
      </c>
      <c r="BN23" s="12" t="n">
        <v>1</v>
      </c>
      <c r="BO23" s="12" t="n">
        <v>3</v>
      </c>
      <c r="BP23" s="12" t="n">
        <v>4</v>
      </c>
      <c r="BQ23" s="12" t="n">
        <v>6</v>
      </c>
      <c r="BR23" s="12" t="n">
        <v>2</v>
      </c>
      <c r="BS23" s="12" t="n">
        <v>5</v>
      </c>
      <c r="BT23" s="12" t="s">
        <v>700</v>
      </c>
      <c r="BU23" s="12"/>
      <c r="BV23" s="12"/>
      <c r="BW23" s="16" t="n">
        <f aca="false">IF($R23="","",INDEX(Codes!$E$2:$E$108,MATCH("B1|"&amp;$R23,Codes!$A$2:$A$108,0)))</f>
        <v>4</v>
      </c>
      <c r="BX23" s="16" t="n">
        <f aca="false">IF($Y23="","",INDEX(Codes!$E$2:$E$108,MATCH("B4|"&amp;$Y23,Codes!$A$2:$A$108,0)))</f>
        <v>5</v>
      </c>
      <c r="BY23" s="16" t="n">
        <f aca="false">IF($I23="","",INDEX(Codes!$E$2:$E$108,MATCH("A7|"&amp;$I23,Codes!$A$2:$A$108,0)))</f>
        <v>0</v>
      </c>
      <c r="BZ23" s="16" t="n">
        <f aca="false">IF($AU23="","",INDEX(Codes!$E$2:$E$108,MATCH("B8|"&amp;$AU23,Codes!$A$2:$A$108,0)))</f>
        <v>2</v>
      </c>
      <c r="CA23" s="16" t="n">
        <f aca="false">IF($H23="","",INDEX(Codes!$E$2:$E$108,MATCH("A6|"&amp;$H23,Codes!$A$2:$A$108,0)))</f>
        <v>1</v>
      </c>
      <c r="CB23" s="16" t="n">
        <f aca="false">IF($X23="","",IF($X23="phone",1,0))</f>
        <v>0</v>
      </c>
      <c r="CC23" s="16" t="n">
        <f aca="false">IF($BC23="","",8-$BC23)</f>
        <v>2</v>
      </c>
      <c r="CD23" s="12" t="s">
        <v>620</v>
      </c>
      <c r="CE23" s="12" t="n">
        <v>2.535</v>
      </c>
      <c r="CF23" s="12" t="n">
        <v>1.641</v>
      </c>
    </row>
    <row r="24" customFormat="false" ht="15" hidden="false" customHeight="false" outlineLevel="0" collapsed="false">
      <c r="A24" s="12" t="s">
        <v>701</v>
      </c>
      <c r="B24" s="12" t="s">
        <v>699</v>
      </c>
      <c r="C24" s="12" t="s">
        <v>274</v>
      </c>
      <c r="D24" s="12" t="s">
        <v>291</v>
      </c>
      <c r="E24" s="12" t="s">
        <v>308</v>
      </c>
      <c r="F24" s="12" t="s">
        <v>321</v>
      </c>
      <c r="G24" s="12" t="s">
        <v>336</v>
      </c>
      <c r="H24" s="12" t="s">
        <v>347</v>
      </c>
      <c r="I24" s="12" t="s">
        <v>359</v>
      </c>
      <c r="J24" s="12" t="n">
        <v>1</v>
      </c>
      <c r="K24" s="12" t="n">
        <v>0</v>
      </c>
      <c r="L24" s="12" t="n">
        <v>0</v>
      </c>
      <c r="M24" s="12" t="n">
        <v>0</v>
      </c>
      <c r="N24" s="12" t="n">
        <v>0</v>
      </c>
      <c r="O24" s="12" t="n">
        <v>0</v>
      </c>
      <c r="P24" s="12" t="n">
        <v>0</v>
      </c>
      <c r="Q24" s="12" t="n">
        <v>6</v>
      </c>
      <c r="R24" s="12" t="s">
        <v>401</v>
      </c>
      <c r="S24" s="12" t="n">
        <v>0</v>
      </c>
      <c r="T24" s="12" t="n">
        <v>1</v>
      </c>
      <c r="U24" s="12" t="n">
        <v>0</v>
      </c>
      <c r="V24" s="12" t="n">
        <v>1</v>
      </c>
      <c r="W24" s="12" t="n">
        <v>0</v>
      </c>
      <c r="X24" s="12" t="s">
        <v>410</v>
      </c>
      <c r="Y24" s="12" t="s">
        <v>437</v>
      </c>
      <c r="Z24" s="12" t="n">
        <v>0</v>
      </c>
      <c r="AA24" s="12" t="n">
        <v>0</v>
      </c>
      <c r="AB24" s="12" t="n">
        <v>1</v>
      </c>
      <c r="AC24" s="12" t="n">
        <v>1</v>
      </c>
      <c r="AD24" s="12" t="n">
        <v>0</v>
      </c>
      <c r="AE24" s="12" t="n">
        <v>0</v>
      </c>
      <c r="AF24" s="12" t="n">
        <v>0</v>
      </c>
      <c r="AG24" s="12" t="n">
        <v>1</v>
      </c>
      <c r="AH24" s="12" t="n">
        <v>0</v>
      </c>
      <c r="AI24" s="12" t="n">
        <v>0</v>
      </c>
      <c r="AJ24" s="12" t="n">
        <v>0</v>
      </c>
      <c r="AK24" s="12" t="n">
        <v>0</v>
      </c>
      <c r="AL24" s="12" t="n">
        <v>0</v>
      </c>
      <c r="AM24" s="12" t="n">
        <v>0</v>
      </c>
      <c r="AN24" s="12" t="n">
        <v>0</v>
      </c>
      <c r="AO24" s="12" t="n">
        <v>0</v>
      </c>
      <c r="AP24" s="12" t="n">
        <v>1</v>
      </c>
      <c r="AQ24" s="12" t="n">
        <v>1</v>
      </c>
      <c r="AR24" s="12" t="n">
        <v>1</v>
      </c>
      <c r="AS24" s="12" t="n">
        <v>0</v>
      </c>
      <c r="AT24" s="12" t="s">
        <v>480</v>
      </c>
      <c r="AU24" s="12" t="s">
        <v>356</v>
      </c>
      <c r="AV24" s="12" t="n">
        <v>0</v>
      </c>
      <c r="AW24" s="12" t="n">
        <v>1</v>
      </c>
      <c r="AX24" s="12" t="n">
        <v>0</v>
      </c>
      <c r="AY24" s="12" t="n">
        <v>0</v>
      </c>
      <c r="AZ24" s="12" t="n">
        <v>0</v>
      </c>
      <c r="BA24" s="12" t="n">
        <v>0</v>
      </c>
      <c r="BB24" s="12" t="n">
        <v>3</v>
      </c>
      <c r="BC24" s="12" t="n">
        <v>5</v>
      </c>
      <c r="BD24" s="12" t="n">
        <v>4</v>
      </c>
      <c r="BE24" s="12" t="n">
        <v>5</v>
      </c>
      <c r="BF24" s="12" t="n">
        <v>2</v>
      </c>
      <c r="BG24" s="12" t="n">
        <v>2</v>
      </c>
      <c r="BH24" s="12" t="n">
        <v>3</v>
      </c>
      <c r="BI24" s="12" t="n">
        <v>4</v>
      </c>
      <c r="BJ24" s="12" t="n">
        <v>4</v>
      </c>
      <c r="BK24" s="12" t="n">
        <v>5</v>
      </c>
      <c r="BL24" s="12" t="n">
        <v>4</v>
      </c>
      <c r="BM24" s="12" t="n">
        <v>4</v>
      </c>
      <c r="BN24" s="12" t="n">
        <v>1</v>
      </c>
      <c r="BO24" s="12" t="n">
        <v>3</v>
      </c>
      <c r="BP24" s="12" t="n">
        <v>5</v>
      </c>
      <c r="BQ24" s="12" t="n">
        <v>4</v>
      </c>
      <c r="BR24" s="12" t="n">
        <v>2</v>
      </c>
      <c r="BS24" s="12" t="n">
        <v>6</v>
      </c>
      <c r="BT24" s="12" t="s">
        <v>702</v>
      </c>
      <c r="BU24" s="12" t="s">
        <v>697</v>
      </c>
      <c r="BV24" s="12"/>
      <c r="BW24" s="16" t="n">
        <f aca="false">IF($R24="","",INDEX(Codes!$E$2:$E$108,MATCH("B1|"&amp;$R24,Codes!$A$2:$A$108,0)))</f>
        <v>5</v>
      </c>
      <c r="BX24" s="16" t="n">
        <f aca="false">IF($Y24="","",INDEX(Codes!$E$2:$E$108,MATCH("B4|"&amp;$Y24,Codes!$A$2:$A$108,0)))</f>
        <v>4</v>
      </c>
      <c r="BY24" s="16" t="n">
        <f aca="false">IF($I24="","",INDEX(Codes!$E$2:$E$108,MATCH("A7|"&amp;$I24,Codes!$A$2:$A$108,0)))</f>
        <v>1</v>
      </c>
      <c r="BZ24" s="16" t="n">
        <f aca="false">IF($AU24="","",INDEX(Codes!$E$2:$E$108,MATCH("B8|"&amp;$AU24,Codes!$A$2:$A$108,0)))</f>
        <v>0</v>
      </c>
      <c r="CA24" s="16" t="n">
        <f aca="false">IF($H24="","",INDEX(Codes!$E$2:$E$108,MATCH("A6|"&amp;$H24,Codes!$A$2:$A$108,0)))</f>
        <v>3</v>
      </c>
      <c r="CB24" s="16" t="n">
        <f aca="false">IF($X24="","",IF($X24="phone",1,0))</f>
        <v>0</v>
      </c>
      <c r="CC24" s="16" t="n">
        <f aca="false">IF($BC24="","",8-$BC24)</f>
        <v>3</v>
      </c>
      <c r="CD24" s="12" t="s">
        <v>620</v>
      </c>
      <c r="CE24" s="12" t="n">
        <v>1.143</v>
      </c>
      <c r="CF24" s="12" t="n">
        <v>1.02</v>
      </c>
    </row>
    <row r="25" customFormat="false" ht="15" hidden="false" customHeight="false" outlineLevel="0" collapsed="false">
      <c r="A25" s="12" t="s">
        <v>703</v>
      </c>
      <c r="B25" s="12" t="s">
        <v>704</v>
      </c>
      <c r="C25" s="12" t="s">
        <v>280</v>
      </c>
      <c r="D25" s="12" t="s">
        <v>297</v>
      </c>
      <c r="E25" s="12" t="s">
        <v>305</v>
      </c>
      <c r="F25" s="12" t="s">
        <v>327</v>
      </c>
      <c r="G25" s="12" t="s">
        <v>333</v>
      </c>
      <c r="H25" s="12" t="s">
        <v>343</v>
      </c>
      <c r="I25" s="12" t="s">
        <v>356</v>
      </c>
      <c r="J25" s="12" t="n">
        <v>1</v>
      </c>
      <c r="K25" s="12" t="n">
        <v>0</v>
      </c>
      <c r="L25" s="12" t="n">
        <v>0</v>
      </c>
      <c r="M25" s="12" t="n">
        <v>0</v>
      </c>
      <c r="N25" s="12" t="n">
        <v>0</v>
      </c>
      <c r="O25" s="12" t="n">
        <v>0</v>
      </c>
      <c r="P25" s="12" t="n">
        <v>0</v>
      </c>
      <c r="Q25" s="12" t="n">
        <v>4</v>
      </c>
      <c r="R25" s="12" t="s">
        <v>395</v>
      </c>
      <c r="S25" s="12" t="n">
        <v>1</v>
      </c>
      <c r="T25" s="12" t="n">
        <v>1</v>
      </c>
      <c r="U25" s="12" t="n">
        <v>0</v>
      </c>
      <c r="V25" s="12" t="n">
        <v>0</v>
      </c>
      <c r="W25" s="12" t="n">
        <v>0</v>
      </c>
      <c r="X25" s="12" t="s">
        <v>410</v>
      </c>
      <c r="Y25" s="12" t="s">
        <v>434</v>
      </c>
      <c r="Z25" s="12" t="n">
        <v>0</v>
      </c>
      <c r="AA25" s="12" t="n">
        <v>1</v>
      </c>
      <c r="AB25" s="12" t="n">
        <v>0</v>
      </c>
      <c r="AC25" s="12" t="n">
        <v>0</v>
      </c>
      <c r="AD25" s="12" t="n">
        <v>0</v>
      </c>
      <c r="AE25" s="12" t="n">
        <v>0</v>
      </c>
      <c r="AF25" s="12" t="n">
        <v>0</v>
      </c>
      <c r="AG25" s="12" t="n">
        <v>0</v>
      </c>
      <c r="AH25" s="12" t="n">
        <v>0</v>
      </c>
      <c r="AI25" s="12" t="n">
        <v>0</v>
      </c>
      <c r="AJ25" s="12" t="n">
        <v>1</v>
      </c>
      <c r="AK25" s="12" t="n">
        <v>0</v>
      </c>
      <c r="AL25" s="12" t="n">
        <v>0</v>
      </c>
      <c r="AM25" s="12" t="n">
        <v>0</v>
      </c>
      <c r="AN25" s="12" t="n">
        <v>0</v>
      </c>
      <c r="AO25" s="12" t="n">
        <v>0</v>
      </c>
      <c r="AP25" s="12" t="n">
        <v>1</v>
      </c>
      <c r="AQ25" s="12" t="n">
        <v>1</v>
      </c>
      <c r="AR25" s="12" t="n">
        <v>1</v>
      </c>
      <c r="AS25" s="12" t="n">
        <v>0</v>
      </c>
      <c r="AT25" s="12" t="s">
        <v>480</v>
      </c>
      <c r="AU25" s="12" t="s">
        <v>395</v>
      </c>
      <c r="AV25" s="12" t="n">
        <v>0</v>
      </c>
      <c r="AW25" s="12" t="n">
        <v>1</v>
      </c>
      <c r="AX25" s="12" t="n">
        <v>0</v>
      </c>
      <c r="AY25" s="12" t="n">
        <v>1</v>
      </c>
      <c r="AZ25" s="12" t="n">
        <v>1</v>
      </c>
      <c r="BA25" s="12" t="n">
        <v>0</v>
      </c>
      <c r="BB25" s="12" t="n">
        <v>3</v>
      </c>
      <c r="BC25" s="12" t="n">
        <v>6</v>
      </c>
      <c r="BD25" s="12" t="n">
        <v>4</v>
      </c>
      <c r="BE25" s="12" t="n">
        <v>6</v>
      </c>
      <c r="BF25" s="12" t="n">
        <v>3</v>
      </c>
      <c r="BG25" s="12" t="n">
        <v>3</v>
      </c>
      <c r="BH25" s="12" t="n">
        <v>5</v>
      </c>
      <c r="BI25" s="12" t="n">
        <v>3</v>
      </c>
      <c r="BJ25" s="12" t="n">
        <v>6</v>
      </c>
      <c r="BK25" s="12" t="n">
        <v>5</v>
      </c>
      <c r="BL25" s="12" t="n">
        <v>2</v>
      </c>
      <c r="BM25" s="12" t="n">
        <v>2</v>
      </c>
      <c r="BN25" s="12" t="n">
        <v>2</v>
      </c>
      <c r="BO25" s="12" t="n">
        <v>1</v>
      </c>
      <c r="BP25" s="12" t="n">
        <v>5</v>
      </c>
      <c r="BQ25" s="12" t="n">
        <v>3</v>
      </c>
      <c r="BR25" s="12" t="n">
        <v>4</v>
      </c>
      <c r="BS25" s="12" t="n">
        <v>6</v>
      </c>
      <c r="BT25" s="12" t="s">
        <v>705</v>
      </c>
      <c r="BU25" s="12" t="s">
        <v>618</v>
      </c>
      <c r="BV25" s="12"/>
      <c r="BW25" s="16" t="n">
        <f aca="false">IF($R25="","",INDEX(Codes!$E$2:$E$108,MATCH("B1|"&amp;$R25,Codes!$A$2:$A$108,0)))</f>
        <v>3</v>
      </c>
      <c r="BX25" s="16" t="n">
        <f aca="false">IF($Y25="","",INDEX(Codes!$E$2:$E$108,MATCH("B4|"&amp;$Y25,Codes!$A$2:$A$108,0)))</f>
        <v>3</v>
      </c>
      <c r="BY25" s="16" t="n">
        <f aca="false">IF($I25="","",INDEX(Codes!$E$2:$E$108,MATCH("A7|"&amp;$I25,Codes!$A$2:$A$108,0)))</f>
        <v>0</v>
      </c>
      <c r="BZ25" s="16" t="n">
        <f aca="false">IF($AU25="","",INDEX(Codes!$E$2:$E$108,MATCH("B8|"&amp;$AU25,Codes!$A$2:$A$108,0)))</f>
        <v>2</v>
      </c>
      <c r="CA25" s="16" t="n">
        <f aca="false">IF($H25="","",INDEX(Codes!$E$2:$E$108,MATCH("A6|"&amp;$H25,Codes!$A$2:$A$108,0)))</f>
        <v>1</v>
      </c>
      <c r="CB25" s="16" t="n">
        <f aca="false">IF($X25="","",IF($X25="phone",1,0))</f>
        <v>0</v>
      </c>
      <c r="CC25" s="16" t="n">
        <f aca="false">IF($BC25="","",8-$BC25)</f>
        <v>2</v>
      </c>
      <c r="CD25" s="12" t="s">
        <v>631</v>
      </c>
      <c r="CE25" s="12" t="n">
        <v>1.753</v>
      </c>
      <c r="CF25" s="12" t="n">
        <v>-1.743</v>
      </c>
    </row>
    <row r="26" customFormat="false" ht="15" hidden="false" customHeight="false" outlineLevel="0" collapsed="false">
      <c r="A26" s="12" t="s">
        <v>706</v>
      </c>
      <c r="B26" s="12" t="s">
        <v>707</v>
      </c>
      <c r="C26" s="12" t="s">
        <v>277</v>
      </c>
      <c r="D26" s="12" t="s">
        <v>293</v>
      </c>
      <c r="E26" s="12" t="s">
        <v>305</v>
      </c>
      <c r="F26" s="12" t="s">
        <v>321</v>
      </c>
      <c r="G26" s="12" t="s">
        <v>336</v>
      </c>
      <c r="H26" s="12" t="s">
        <v>345</v>
      </c>
      <c r="I26" s="12" t="s">
        <v>359</v>
      </c>
      <c r="J26" s="12" t="n">
        <v>1</v>
      </c>
      <c r="K26" s="12" t="n">
        <v>0</v>
      </c>
      <c r="L26" s="12" t="n">
        <v>0</v>
      </c>
      <c r="M26" s="12" t="n">
        <v>0</v>
      </c>
      <c r="N26" s="12" t="n">
        <v>0</v>
      </c>
      <c r="O26" s="12" t="n">
        <v>0</v>
      </c>
      <c r="P26" s="12" t="n">
        <v>0</v>
      </c>
      <c r="Q26" s="12" t="n">
        <v>7</v>
      </c>
      <c r="R26" s="12" t="s">
        <v>401</v>
      </c>
      <c r="S26" s="12" t="n">
        <v>1</v>
      </c>
      <c r="T26" s="12" t="n">
        <v>0</v>
      </c>
      <c r="U26" s="12" t="n">
        <v>0</v>
      </c>
      <c r="V26" s="12" t="n">
        <v>0</v>
      </c>
      <c r="W26" s="12" t="n">
        <v>0</v>
      </c>
      <c r="X26" s="12" t="s">
        <v>407</v>
      </c>
      <c r="Y26" s="12" t="s">
        <v>440</v>
      </c>
      <c r="Z26" s="12" t="n">
        <v>1</v>
      </c>
      <c r="AA26" s="12" t="n">
        <v>1</v>
      </c>
      <c r="AB26" s="12" t="n">
        <v>1</v>
      </c>
      <c r="AC26" s="12" t="n">
        <v>0</v>
      </c>
      <c r="AD26" s="12" t="n">
        <v>0</v>
      </c>
      <c r="AE26" s="12" t="n">
        <v>0</v>
      </c>
      <c r="AF26" s="12" t="n">
        <v>1</v>
      </c>
      <c r="AG26" s="12" t="n">
        <v>0</v>
      </c>
      <c r="AH26" s="12" t="n">
        <v>0</v>
      </c>
      <c r="AI26" s="12" t="n">
        <v>0</v>
      </c>
      <c r="AJ26" s="12" t="n">
        <v>0</v>
      </c>
      <c r="AK26" s="12" t="n">
        <v>0</v>
      </c>
      <c r="AL26" s="12" t="n">
        <v>0</v>
      </c>
      <c r="AM26" s="12" t="n">
        <v>1</v>
      </c>
      <c r="AN26" s="12" t="n">
        <v>0</v>
      </c>
      <c r="AO26" s="12" t="n">
        <v>1</v>
      </c>
      <c r="AP26" s="12" t="n">
        <v>1</v>
      </c>
      <c r="AQ26" s="12" t="n">
        <v>1</v>
      </c>
      <c r="AR26" s="12" t="n">
        <v>0</v>
      </c>
      <c r="AS26" s="12" t="n">
        <v>0</v>
      </c>
      <c r="AT26" s="12" t="s">
        <v>504</v>
      </c>
      <c r="AU26" s="12" t="s">
        <v>356</v>
      </c>
      <c r="AV26" s="12" t="n">
        <v>0</v>
      </c>
      <c r="AW26" s="12" t="n">
        <v>1</v>
      </c>
      <c r="AX26" s="12" t="n">
        <v>1</v>
      </c>
      <c r="AY26" s="12" t="n">
        <v>0</v>
      </c>
      <c r="AZ26" s="12" t="n">
        <v>0</v>
      </c>
      <c r="BA26" s="12" t="n">
        <v>0</v>
      </c>
      <c r="BB26" s="12" t="n">
        <v>2</v>
      </c>
      <c r="BC26" s="12" t="n">
        <v>4</v>
      </c>
      <c r="BD26" s="12" t="n">
        <v>2</v>
      </c>
      <c r="BE26" s="12" t="n">
        <v>5</v>
      </c>
      <c r="BF26" s="12" t="n">
        <v>4</v>
      </c>
      <c r="BG26" s="12" t="n">
        <v>2</v>
      </c>
      <c r="BH26" s="12" t="n">
        <v>5</v>
      </c>
      <c r="BI26" s="12" t="n">
        <v>6</v>
      </c>
      <c r="BJ26" s="12" t="n">
        <v>5</v>
      </c>
      <c r="BK26" s="12" t="n">
        <v>5</v>
      </c>
      <c r="BL26" s="12" t="n">
        <v>2</v>
      </c>
      <c r="BM26" s="12" t="n">
        <v>4</v>
      </c>
      <c r="BN26" s="12" t="n">
        <v>1</v>
      </c>
      <c r="BO26" s="12" t="n">
        <v>4</v>
      </c>
      <c r="BP26" s="12" t="n">
        <v>3</v>
      </c>
      <c r="BQ26" s="12" t="n">
        <v>6</v>
      </c>
      <c r="BR26" s="12" t="n">
        <v>2</v>
      </c>
      <c r="BS26" s="12" t="n">
        <v>5</v>
      </c>
      <c r="BT26" s="12" t="s">
        <v>708</v>
      </c>
      <c r="BU26" s="12" t="s">
        <v>709</v>
      </c>
      <c r="BV26" s="12" t="s">
        <v>710</v>
      </c>
      <c r="BW26" s="16" t="n">
        <f aca="false">IF($R26="","",INDEX(Codes!$E$2:$E$108,MATCH("B1|"&amp;$R26,Codes!$A$2:$A$108,0)))</f>
        <v>5</v>
      </c>
      <c r="BX26" s="16" t="n">
        <f aca="false">IF($Y26="","",INDEX(Codes!$E$2:$E$108,MATCH("B4|"&amp;$Y26,Codes!$A$2:$A$108,0)))</f>
        <v>5</v>
      </c>
      <c r="BY26" s="16" t="n">
        <f aca="false">IF($I26="","",INDEX(Codes!$E$2:$E$108,MATCH("A7|"&amp;$I26,Codes!$A$2:$A$108,0)))</f>
        <v>1</v>
      </c>
      <c r="BZ26" s="16" t="n">
        <f aca="false">IF($AU26="","",INDEX(Codes!$E$2:$E$108,MATCH("B8|"&amp;$AU26,Codes!$A$2:$A$108,0)))</f>
        <v>0</v>
      </c>
      <c r="CA26" s="16" t="n">
        <f aca="false">IF($H26="","",INDEX(Codes!$E$2:$E$108,MATCH("A6|"&amp;$H26,Codes!$A$2:$A$108,0)))</f>
        <v>2</v>
      </c>
      <c r="CB26" s="16" t="n">
        <f aca="false">IF($X26="","",IF($X26="phone",1,0))</f>
        <v>0</v>
      </c>
      <c r="CC26" s="16" t="n">
        <f aca="false">IF($BC26="","",8-$BC26)</f>
        <v>4</v>
      </c>
      <c r="CD26" s="12" t="s">
        <v>620</v>
      </c>
      <c r="CE26" s="12" t="n">
        <v>1.677</v>
      </c>
      <c r="CF26" s="12" t="n">
        <v>3.097</v>
      </c>
    </row>
    <row r="27" customFormat="false" ht="15" hidden="false" customHeight="false" outlineLevel="0" collapsed="false">
      <c r="A27" s="12" t="s">
        <v>711</v>
      </c>
      <c r="B27" s="12" t="s">
        <v>712</v>
      </c>
      <c r="C27" s="12" t="s">
        <v>274</v>
      </c>
      <c r="D27" s="12" t="s">
        <v>291</v>
      </c>
      <c r="E27" s="12" t="s">
        <v>308</v>
      </c>
      <c r="F27" s="12" t="s">
        <v>315</v>
      </c>
      <c r="G27" s="12" t="s">
        <v>339</v>
      </c>
      <c r="H27" s="12" t="s">
        <v>347</v>
      </c>
      <c r="I27" s="12" t="s">
        <v>359</v>
      </c>
      <c r="J27" s="12" t="n">
        <v>1</v>
      </c>
      <c r="K27" s="12" t="n">
        <v>0</v>
      </c>
      <c r="L27" s="12" t="n">
        <v>0</v>
      </c>
      <c r="M27" s="12" t="n">
        <v>0</v>
      </c>
      <c r="N27" s="12" t="n">
        <v>0</v>
      </c>
      <c r="O27" s="12" t="n">
        <v>0</v>
      </c>
      <c r="P27" s="12" t="n">
        <v>0</v>
      </c>
      <c r="Q27" s="12" t="n">
        <v>6</v>
      </c>
      <c r="R27" s="12" t="s">
        <v>398</v>
      </c>
      <c r="S27" s="12" t="n">
        <v>1</v>
      </c>
      <c r="T27" s="12" t="n">
        <v>0</v>
      </c>
      <c r="U27" s="12" t="n">
        <v>1</v>
      </c>
      <c r="V27" s="12" t="n">
        <v>1</v>
      </c>
      <c r="W27" s="12" t="n">
        <v>0</v>
      </c>
      <c r="X27" s="12" t="s">
        <v>407</v>
      </c>
      <c r="Y27" s="12" t="s">
        <v>437</v>
      </c>
      <c r="Z27" s="12" t="n">
        <v>1</v>
      </c>
      <c r="AA27" s="12" t="n">
        <v>1</v>
      </c>
      <c r="AB27" s="12" t="n">
        <v>0</v>
      </c>
      <c r="AC27" s="12" t="n">
        <v>1</v>
      </c>
      <c r="AD27" s="12" t="n">
        <v>1</v>
      </c>
      <c r="AE27" s="12" t="n">
        <v>0</v>
      </c>
      <c r="AF27" s="12" t="n">
        <v>1</v>
      </c>
      <c r="AG27" s="12" t="n">
        <v>1</v>
      </c>
      <c r="AH27" s="12" t="n">
        <v>1</v>
      </c>
      <c r="AI27" s="12" t="n">
        <v>1</v>
      </c>
      <c r="AJ27" s="12" t="n">
        <v>0</v>
      </c>
      <c r="AK27" s="12" t="n">
        <v>0</v>
      </c>
      <c r="AL27" s="12" t="n">
        <v>1</v>
      </c>
      <c r="AM27" s="12" t="n">
        <v>0</v>
      </c>
      <c r="AN27" s="12" t="n">
        <v>0</v>
      </c>
      <c r="AO27" s="12" t="n">
        <v>0</v>
      </c>
      <c r="AP27" s="12" t="n">
        <v>0</v>
      </c>
      <c r="AQ27" s="12" t="n">
        <v>0</v>
      </c>
      <c r="AR27" s="12" t="n">
        <v>0</v>
      </c>
      <c r="AS27" s="12" t="n">
        <v>0</v>
      </c>
      <c r="AT27" s="12" t="s">
        <v>480</v>
      </c>
      <c r="AU27" s="12" t="s">
        <v>356</v>
      </c>
      <c r="AV27" s="12" t="n">
        <v>0</v>
      </c>
      <c r="AW27" s="12" t="n">
        <v>1</v>
      </c>
      <c r="AX27" s="12" t="n">
        <v>1</v>
      </c>
      <c r="AY27" s="12" t="n">
        <v>1</v>
      </c>
      <c r="AZ27" s="12" t="n">
        <v>1</v>
      </c>
      <c r="BA27" s="12" t="n">
        <v>0</v>
      </c>
      <c r="BB27" s="12" t="n">
        <v>5</v>
      </c>
      <c r="BC27" s="12" t="n">
        <v>3</v>
      </c>
      <c r="BD27" s="12" t="n">
        <v>3</v>
      </c>
      <c r="BE27" s="12" t="n">
        <v>4</v>
      </c>
      <c r="BF27" s="12" t="n">
        <v>5</v>
      </c>
      <c r="BG27" s="12" t="n">
        <v>3</v>
      </c>
      <c r="BH27" s="12" t="n">
        <v>4</v>
      </c>
      <c r="BI27" s="12" t="n">
        <v>6</v>
      </c>
      <c r="BJ27" s="12" t="n">
        <v>5</v>
      </c>
      <c r="BK27" s="12" t="n">
        <v>2</v>
      </c>
      <c r="BL27" s="12" t="n">
        <v>4</v>
      </c>
      <c r="BM27" s="12" t="n">
        <v>3</v>
      </c>
      <c r="BN27" s="12" t="n">
        <v>1</v>
      </c>
      <c r="BO27" s="12" t="n">
        <v>3</v>
      </c>
      <c r="BP27" s="12" t="n">
        <v>4</v>
      </c>
      <c r="BQ27" s="12" t="n">
        <v>5</v>
      </c>
      <c r="BR27" s="12" t="n">
        <v>2</v>
      </c>
      <c r="BS27" s="12" t="n">
        <v>6</v>
      </c>
      <c r="BT27" s="12" t="s">
        <v>713</v>
      </c>
      <c r="BU27" s="12"/>
      <c r="BV27" s="12" t="s">
        <v>710</v>
      </c>
      <c r="BW27" s="16" t="n">
        <f aca="false">IF($R27="","",INDEX(Codes!$E$2:$E$108,MATCH("B1|"&amp;$R27,Codes!$A$2:$A$108,0)))</f>
        <v>4</v>
      </c>
      <c r="BX27" s="16" t="n">
        <f aca="false">IF($Y27="","",INDEX(Codes!$E$2:$E$108,MATCH("B4|"&amp;$Y27,Codes!$A$2:$A$108,0)))</f>
        <v>4</v>
      </c>
      <c r="BY27" s="16" t="n">
        <f aca="false">IF($I27="","",INDEX(Codes!$E$2:$E$108,MATCH("A7|"&amp;$I27,Codes!$A$2:$A$108,0)))</f>
        <v>1</v>
      </c>
      <c r="BZ27" s="16" t="n">
        <f aca="false">IF($AU27="","",INDEX(Codes!$E$2:$E$108,MATCH("B8|"&amp;$AU27,Codes!$A$2:$A$108,0)))</f>
        <v>0</v>
      </c>
      <c r="CA27" s="16" t="n">
        <f aca="false">IF($H27="","",INDEX(Codes!$E$2:$E$108,MATCH("A6|"&amp;$H27,Codes!$A$2:$A$108,0)))</f>
        <v>3</v>
      </c>
      <c r="CB27" s="16" t="n">
        <f aca="false">IF($X27="","",IF($X27="phone",1,0))</f>
        <v>0</v>
      </c>
      <c r="CC27" s="16" t="n">
        <f aca="false">IF($BC27="","",8-$BC27)</f>
        <v>5</v>
      </c>
      <c r="CD27" s="12" t="s">
        <v>620</v>
      </c>
      <c r="CE27" s="12" t="n">
        <v>1.041</v>
      </c>
      <c r="CF27" s="12" t="n">
        <v>1.423</v>
      </c>
    </row>
    <row r="28" customFormat="false" ht="15" hidden="false" customHeight="false" outlineLevel="0" collapsed="false">
      <c r="A28" s="12" t="s">
        <v>714</v>
      </c>
      <c r="B28" s="12" t="s">
        <v>715</v>
      </c>
      <c r="C28" s="12" t="s">
        <v>277</v>
      </c>
      <c r="D28" s="12" t="s">
        <v>291</v>
      </c>
      <c r="E28" s="12" t="s">
        <v>308</v>
      </c>
      <c r="F28" s="12" t="s">
        <v>315</v>
      </c>
      <c r="G28" s="12" t="s">
        <v>336</v>
      </c>
      <c r="H28" s="12" t="s">
        <v>343</v>
      </c>
      <c r="I28" s="12" t="s">
        <v>356</v>
      </c>
      <c r="J28" s="12" t="n">
        <v>1</v>
      </c>
      <c r="K28" s="12" t="n">
        <v>0</v>
      </c>
      <c r="L28" s="12" t="n">
        <v>0</v>
      </c>
      <c r="M28" s="12" t="n">
        <v>0</v>
      </c>
      <c r="N28" s="12" t="n">
        <v>0</v>
      </c>
      <c r="O28" s="12" t="n">
        <v>0</v>
      </c>
      <c r="P28" s="12" t="n">
        <v>0</v>
      </c>
      <c r="Q28" s="12" t="n">
        <v>7</v>
      </c>
      <c r="R28" s="12" t="s">
        <v>401</v>
      </c>
      <c r="S28" s="12" t="n">
        <v>1</v>
      </c>
      <c r="T28" s="12" t="n">
        <v>0</v>
      </c>
      <c r="U28" s="12" t="n">
        <v>0</v>
      </c>
      <c r="V28" s="12" t="n">
        <v>0</v>
      </c>
      <c r="W28" s="12" t="n">
        <v>1</v>
      </c>
      <c r="X28" s="12" t="s">
        <v>407</v>
      </c>
      <c r="Y28" s="12" t="s">
        <v>434</v>
      </c>
      <c r="Z28" s="12" t="n">
        <v>1</v>
      </c>
      <c r="AA28" s="12" t="n">
        <v>1</v>
      </c>
      <c r="AB28" s="12" t="n">
        <v>1</v>
      </c>
      <c r="AC28" s="12" t="n">
        <v>1</v>
      </c>
      <c r="AD28" s="12" t="n">
        <v>1</v>
      </c>
      <c r="AE28" s="12" t="n">
        <v>1</v>
      </c>
      <c r="AF28" s="12" t="n">
        <v>0</v>
      </c>
      <c r="AG28" s="12" t="n">
        <v>0</v>
      </c>
      <c r="AH28" s="12" t="n">
        <v>1</v>
      </c>
      <c r="AI28" s="12" t="n">
        <v>0</v>
      </c>
      <c r="AJ28" s="12" t="n">
        <v>0</v>
      </c>
      <c r="AK28" s="12" t="n">
        <v>0</v>
      </c>
      <c r="AL28" s="12" t="n">
        <v>1</v>
      </c>
      <c r="AM28" s="12" t="n">
        <v>0</v>
      </c>
      <c r="AN28" s="12" t="n">
        <v>0</v>
      </c>
      <c r="AO28" s="12" t="n">
        <v>0</v>
      </c>
      <c r="AP28" s="12" t="n">
        <v>0</v>
      </c>
      <c r="AQ28" s="12" t="n">
        <v>0</v>
      </c>
      <c r="AR28" s="12" t="n">
        <v>1</v>
      </c>
      <c r="AS28" s="12" t="n">
        <v>0</v>
      </c>
      <c r="AT28" s="12" t="s">
        <v>507</v>
      </c>
      <c r="AU28" s="12" t="s">
        <v>395</v>
      </c>
      <c r="AV28" s="12" t="n">
        <v>0</v>
      </c>
      <c r="AW28" s="12" t="n">
        <v>1</v>
      </c>
      <c r="AX28" s="12" t="n">
        <v>1</v>
      </c>
      <c r="AY28" s="12" t="n">
        <v>1</v>
      </c>
      <c r="AZ28" s="12" t="n">
        <v>0</v>
      </c>
      <c r="BA28" s="12" t="n">
        <v>0</v>
      </c>
      <c r="BB28" s="12" t="n">
        <v>3</v>
      </c>
      <c r="BC28" s="12" t="n">
        <v>5</v>
      </c>
      <c r="BD28" s="12" t="n">
        <v>5</v>
      </c>
      <c r="BE28" s="12" t="n">
        <v>3</v>
      </c>
      <c r="BF28" s="12" t="n">
        <v>3</v>
      </c>
      <c r="BG28" s="12" t="n">
        <v>1</v>
      </c>
      <c r="BH28" s="12" t="n">
        <v>4</v>
      </c>
      <c r="BI28" s="12" t="n">
        <v>7</v>
      </c>
      <c r="BJ28" s="12" t="n">
        <v>6</v>
      </c>
      <c r="BK28" s="12" t="n">
        <v>5</v>
      </c>
      <c r="BL28" s="12" t="n">
        <v>4</v>
      </c>
      <c r="BM28" s="12" t="n">
        <v>5</v>
      </c>
      <c r="BN28" s="12" t="n">
        <v>1</v>
      </c>
      <c r="BO28" s="12" t="n">
        <v>3</v>
      </c>
      <c r="BP28" s="12" t="n">
        <v>4</v>
      </c>
      <c r="BQ28" s="12" t="n">
        <v>5</v>
      </c>
      <c r="BR28" s="12" t="n">
        <v>2</v>
      </c>
      <c r="BS28" s="12" t="n">
        <v>6</v>
      </c>
      <c r="BT28" s="12" t="s">
        <v>716</v>
      </c>
      <c r="BU28" s="12" t="s">
        <v>709</v>
      </c>
      <c r="BV28" s="12" t="s">
        <v>717</v>
      </c>
      <c r="BW28" s="16" t="n">
        <f aca="false">IF($R28="","",INDEX(Codes!$E$2:$E$108,MATCH("B1|"&amp;$R28,Codes!$A$2:$A$108,0)))</f>
        <v>5</v>
      </c>
      <c r="BX28" s="16" t="n">
        <f aca="false">IF($Y28="","",INDEX(Codes!$E$2:$E$108,MATCH("B4|"&amp;$Y28,Codes!$A$2:$A$108,0)))</f>
        <v>3</v>
      </c>
      <c r="BY28" s="16" t="n">
        <f aca="false">IF($I28="","",INDEX(Codes!$E$2:$E$108,MATCH("A7|"&amp;$I28,Codes!$A$2:$A$108,0)))</f>
        <v>0</v>
      </c>
      <c r="BZ28" s="16" t="n">
        <f aca="false">IF($AU28="","",INDEX(Codes!$E$2:$E$108,MATCH("B8|"&amp;$AU28,Codes!$A$2:$A$108,0)))</f>
        <v>2</v>
      </c>
      <c r="CA28" s="16" t="n">
        <f aca="false">IF($H28="","",INDEX(Codes!$E$2:$E$108,MATCH("A6|"&amp;$H28,Codes!$A$2:$A$108,0)))</f>
        <v>1</v>
      </c>
      <c r="CB28" s="16" t="n">
        <f aca="false">IF($X28="","",IF($X28="phone",1,0))</f>
        <v>0</v>
      </c>
      <c r="CC28" s="16" t="n">
        <f aca="false">IF($BC28="","",8-$BC28)</f>
        <v>3</v>
      </c>
      <c r="CD28" s="12" t="s">
        <v>620</v>
      </c>
      <c r="CE28" s="12" t="n">
        <v>0.307</v>
      </c>
      <c r="CF28" s="12" t="n">
        <v>2.961</v>
      </c>
    </row>
    <row r="29" customFormat="false" ht="15" hidden="false" customHeight="false" outlineLevel="0" collapsed="false">
      <c r="A29" s="12" t="s">
        <v>718</v>
      </c>
      <c r="B29" s="12" t="s">
        <v>719</v>
      </c>
      <c r="C29" s="12" t="s">
        <v>280</v>
      </c>
      <c r="D29" s="12" t="s">
        <v>297</v>
      </c>
      <c r="E29" s="12" t="s">
        <v>305</v>
      </c>
      <c r="F29" s="12" t="s">
        <v>315</v>
      </c>
      <c r="G29" s="12" t="s">
        <v>333</v>
      </c>
      <c r="H29" s="12" t="s">
        <v>343</v>
      </c>
      <c r="I29" s="12" t="s">
        <v>356</v>
      </c>
      <c r="J29" s="12" t="n">
        <v>1</v>
      </c>
      <c r="K29" s="12" t="n">
        <v>0</v>
      </c>
      <c r="L29" s="12" t="n">
        <v>0</v>
      </c>
      <c r="M29" s="12" t="n">
        <v>0</v>
      </c>
      <c r="N29" s="12" t="n">
        <v>0</v>
      </c>
      <c r="O29" s="12" t="n">
        <v>0</v>
      </c>
      <c r="P29" s="12" t="n">
        <v>0</v>
      </c>
      <c r="Q29" s="12" t="n">
        <v>6</v>
      </c>
      <c r="R29" s="12" t="s">
        <v>404</v>
      </c>
      <c r="S29" s="12" t="n">
        <v>1</v>
      </c>
      <c r="T29" s="12" t="n">
        <v>0</v>
      </c>
      <c r="U29" s="12" t="n">
        <v>0</v>
      </c>
      <c r="V29" s="12" t="n">
        <v>1</v>
      </c>
      <c r="W29" s="12" t="n">
        <v>0</v>
      </c>
      <c r="X29" s="12" t="s">
        <v>410</v>
      </c>
      <c r="Y29" s="12" t="s">
        <v>437</v>
      </c>
      <c r="Z29" s="12" t="n">
        <v>1</v>
      </c>
      <c r="AA29" s="12" t="n">
        <v>1</v>
      </c>
      <c r="AB29" s="12" t="n">
        <v>1</v>
      </c>
      <c r="AC29" s="12" t="n">
        <v>0</v>
      </c>
      <c r="AD29" s="12" t="n">
        <v>0</v>
      </c>
      <c r="AE29" s="12" t="n">
        <v>1</v>
      </c>
      <c r="AF29" s="12" t="n">
        <v>1</v>
      </c>
      <c r="AG29" s="12" t="n">
        <v>0</v>
      </c>
      <c r="AH29" s="12" t="n">
        <v>1</v>
      </c>
      <c r="AI29" s="12" t="n">
        <v>1</v>
      </c>
      <c r="AJ29" s="12" t="n">
        <v>0</v>
      </c>
      <c r="AK29" s="12" t="n">
        <v>0</v>
      </c>
      <c r="AL29" s="12" t="n">
        <v>0</v>
      </c>
      <c r="AM29" s="12" t="n">
        <v>0</v>
      </c>
      <c r="AN29" s="12" t="n">
        <v>0</v>
      </c>
      <c r="AO29" s="12" t="n">
        <v>0</v>
      </c>
      <c r="AP29" s="12" t="n">
        <v>1</v>
      </c>
      <c r="AQ29" s="12" t="n">
        <v>0</v>
      </c>
      <c r="AR29" s="12" t="n">
        <v>1</v>
      </c>
      <c r="AS29" s="12" t="n">
        <v>0</v>
      </c>
      <c r="AT29" s="12" t="s">
        <v>480</v>
      </c>
      <c r="AU29" s="12" t="s">
        <v>343</v>
      </c>
      <c r="AV29" s="12" t="n">
        <v>1</v>
      </c>
      <c r="AW29" s="12" t="n">
        <v>1</v>
      </c>
      <c r="AX29" s="12" t="n">
        <v>0</v>
      </c>
      <c r="AY29" s="12" t="n">
        <v>0</v>
      </c>
      <c r="AZ29" s="12" t="n">
        <v>1</v>
      </c>
      <c r="BA29" s="12" t="n">
        <v>0</v>
      </c>
      <c r="BB29" s="12" t="n">
        <v>6</v>
      </c>
      <c r="BC29" s="12" t="n">
        <v>1</v>
      </c>
      <c r="BD29" s="12" t="n">
        <v>2</v>
      </c>
      <c r="BE29" s="12" t="n">
        <v>4</v>
      </c>
      <c r="BF29" s="12" t="n">
        <v>3</v>
      </c>
      <c r="BG29" s="12" t="n">
        <v>2</v>
      </c>
      <c r="BH29" s="12" t="n">
        <v>6</v>
      </c>
      <c r="BI29" s="12" t="n">
        <v>7</v>
      </c>
      <c r="BJ29" s="12" t="n">
        <v>5</v>
      </c>
      <c r="BK29" s="12" t="n">
        <v>3</v>
      </c>
      <c r="BL29" s="12" t="n">
        <v>5</v>
      </c>
      <c r="BM29" s="12" t="n">
        <v>2</v>
      </c>
      <c r="BN29" s="12" t="n">
        <v>1</v>
      </c>
      <c r="BO29" s="12" t="n">
        <v>5</v>
      </c>
      <c r="BP29" s="12" t="n">
        <v>2</v>
      </c>
      <c r="BQ29" s="12" t="n">
        <v>3</v>
      </c>
      <c r="BR29" s="12" t="n">
        <v>4</v>
      </c>
      <c r="BS29" s="12" t="n">
        <v>6</v>
      </c>
      <c r="BT29" s="12" t="s">
        <v>720</v>
      </c>
      <c r="BU29" s="12" t="s">
        <v>721</v>
      </c>
      <c r="BV29" s="12" t="s">
        <v>722</v>
      </c>
      <c r="BW29" s="16" t="n">
        <f aca="false">IF($R29="","",INDEX(Codes!$E$2:$E$108,MATCH("B1|"&amp;$R29,Codes!$A$2:$A$108,0)))</f>
        <v>6</v>
      </c>
      <c r="BX29" s="16" t="n">
        <f aca="false">IF($Y29="","",INDEX(Codes!$E$2:$E$108,MATCH("B4|"&amp;$Y29,Codes!$A$2:$A$108,0)))</f>
        <v>4</v>
      </c>
      <c r="BY29" s="16" t="n">
        <f aca="false">IF($I29="","",INDEX(Codes!$E$2:$E$108,MATCH("A7|"&amp;$I29,Codes!$A$2:$A$108,0)))</f>
        <v>0</v>
      </c>
      <c r="BZ29" s="16" t="n">
        <f aca="false">IF($AU29="","",INDEX(Codes!$E$2:$E$108,MATCH("B8|"&amp;$AU29,Codes!$A$2:$A$108,0)))</f>
        <v>1</v>
      </c>
      <c r="CA29" s="16" t="n">
        <f aca="false">IF($H29="","",INDEX(Codes!$E$2:$E$108,MATCH("A6|"&amp;$H29,Codes!$A$2:$A$108,0)))</f>
        <v>1</v>
      </c>
      <c r="CB29" s="16" t="n">
        <f aca="false">IF($X29="","",IF($X29="phone",1,0))</f>
        <v>0</v>
      </c>
      <c r="CC29" s="16" t="n">
        <f aca="false">IF($BC29="","",8-$BC29)</f>
        <v>7</v>
      </c>
      <c r="CD29" s="12" t="s">
        <v>614</v>
      </c>
      <c r="CE29" s="12" t="n">
        <v>-0.603</v>
      </c>
      <c r="CF29" s="12" t="n">
        <v>2.912</v>
      </c>
    </row>
    <row r="30" customFormat="false" ht="15" hidden="false" customHeight="false" outlineLevel="0" collapsed="false">
      <c r="A30" s="12" t="s">
        <v>723</v>
      </c>
      <c r="B30" s="12" t="s">
        <v>724</v>
      </c>
      <c r="C30" s="12" t="s">
        <v>280</v>
      </c>
      <c r="D30" s="12" t="s">
        <v>299</v>
      </c>
      <c r="E30" s="12" t="s">
        <v>305</v>
      </c>
      <c r="F30" s="12" t="s">
        <v>318</v>
      </c>
      <c r="G30" s="12" t="s">
        <v>333</v>
      </c>
      <c r="H30" s="12" t="s">
        <v>345</v>
      </c>
      <c r="I30" s="12" t="s">
        <v>359</v>
      </c>
      <c r="J30" s="12" t="n">
        <v>0</v>
      </c>
      <c r="K30" s="12" t="n">
        <v>0</v>
      </c>
      <c r="L30" s="12" t="n">
        <v>0</v>
      </c>
      <c r="M30" s="12" t="n">
        <v>0</v>
      </c>
      <c r="N30" s="12" t="n">
        <v>0</v>
      </c>
      <c r="O30" s="12" t="n">
        <v>0</v>
      </c>
      <c r="P30" s="12" t="n">
        <v>1</v>
      </c>
      <c r="Q30" s="12" t="n">
        <v>5</v>
      </c>
      <c r="R30" s="12" t="s">
        <v>404</v>
      </c>
      <c r="S30" s="12" t="n">
        <v>1</v>
      </c>
      <c r="T30" s="12" t="n">
        <v>0</v>
      </c>
      <c r="U30" s="12" t="n">
        <v>0</v>
      </c>
      <c r="V30" s="12" t="n">
        <v>0</v>
      </c>
      <c r="W30" s="12" t="n">
        <v>0</v>
      </c>
      <c r="X30" s="12" t="s">
        <v>407</v>
      </c>
      <c r="Y30" s="12" t="s">
        <v>440</v>
      </c>
      <c r="Z30" s="12" t="n">
        <v>1</v>
      </c>
      <c r="AA30" s="12" t="n">
        <v>1</v>
      </c>
      <c r="AB30" s="12" t="n">
        <v>1</v>
      </c>
      <c r="AC30" s="12" t="n">
        <v>1</v>
      </c>
      <c r="AD30" s="12" t="n">
        <v>1</v>
      </c>
      <c r="AE30" s="12" t="n">
        <v>1</v>
      </c>
      <c r="AF30" s="12" t="n">
        <v>0</v>
      </c>
      <c r="AG30" s="12" t="n">
        <v>0</v>
      </c>
      <c r="AH30" s="12" t="n">
        <v>1</v>
      </c>
      <c r="AI30" s="12" t="n">
        <v>0</v>
      </c>
      <c r="AJ30" s="12" t="n">
        <v>1</v>
      </c>
      <c r="AK30" s="12" t="n">
        <v>0</v>
      </c>
      <c r="AL30" s="12" t="n">
        <v>1</v>
      </c>
      <c r="AM30" s="12" t="n">
        <v>0</v>
      </c>
      <c r="AN30" s="12" t="n">
        <v>0</v>
      </c>
      <c r="AO30" s="12" t="n">
        <v>0</v>
      </c>
      <c r="AP30" s="12" t="n">
        <v>1</v>
      </c>
      <c r="AQ30" s="12" t="n">
        <v>0</v>
      </c>
      <c r="AR30" s="12" t="n">
        <v>0</v>
      </c>
      <c r="AS30" s="12" t="n">
        <v>0</v>
      </c>
      <c r="AT30" s="12" t="s">
        <v>480</v>
      </c>
      <c r="AU30" s="12" t="s">
        <v>343</v>
      </c>
      <c r="AV30" s="12" t="n">
        <v>1</v>
      </c>
      <c r="AW30" s="12" t="n">
        <v>1</v>
      </c>
      <c r="AX30" s="12" t="n">
        <v>0</v>
      </c>
      <c r="AY30" s="12" t="n">
        <v>0</v>
      </c>
      <c r="AZ30" s="12" t="n">
        <v>1</v>
      </c>
      <c r="BA30" s="12" t="n">
        <v>0</v>
      </c>
      <c r="BB30" s="12" t="n">
        <v>5</v>
      </c>
      <c r="BC30" s="12" t="n">
        <v>3</v>
      </c>
      <c r="BD30" s="12" t="n">
        <v>4</v>
      </c>
      <c r="BE30" s="12" t="n">
        <v>5</v>
      </c>
      <c r="BF30" s="12" t="n">
        <v>2</v>
      </c>
      <c r="BG30" s="12" t="n">
        <v>2</v>
      </c>
      <c r="BH30" s="12" t="n">
        <v>4</v>
      </c>
      <c r="BI30" s="12" t="n">
        <v>6</v>
      </c>
      <c r="BJ30" s="12" t="n">
        <v>5</v>
      </c>
      <c r="BK30" s="12" t="n">
        <v>2</v>
      </c>
      <c r="BL30" s="12" t="n">
        <v>5</v>
      </c>
      <c r="BM30" s="12" t="n">
        <v>3</v>
      </c>
      <c r="BN30" s="12" t="n">
        <v>2</v>
      </c>
      <c r="BO30" s="12" t="n">
        <v>4</v>
      </c>
      <c r="BP30" s="12" t="n">
        <v>1</v>
      </c>
      <c r="BQ30" s="12" t="n">
        <v>3</v>
      </c>
      <c r="BR30" s="12" t="n">
        <v>5</v>
      </c>
      <c r="BS30" s="12" t="n">
        <v>6</v>
      </c>
      <c r="BT30" s="12" t="s">
        <v>725</v>
      </c>
      <c r="BU30" s="12" t="s">
        <v>613</v>
      </c>
      <c r="BV30" s="12" t="s">
        <v>726</v>
      </c>
      <c r="BW30" s="16" t="n">
        <f aca="false">IF($R30="","",INDEX(Codes!$E$2:$E$108,MATCH("B1|"&amp;$R30,Codes!$A$2:$A$108,0)))</f>
        <v>6</v>
      </c>
      <c r="BX30" s="16" t="n">
        <f aca="false">IF($Y30="","",INDEX(Codes!$E$2:$E$108,MATCH("B4|"&amp;$Y30,Codes!$A$2:$A$108,0)))</f>
        <v>5</v>
      </c>
      <c r="BY30" s="16" t="n">
        <f aca="false">IF($I30="","",INDEX(Codes!$E$2:$E$108,MATCH("A7|"&amp;$I30,Codes!$A$2:$A$108,0)))</f>
        <v>1</v>
      </c>
      <c r="BZ30" s="16" t="n">
        <f aca="false">IF($AU30="","",INDEX(Codes!$E$2:$E$108,MATCH("B8|"&amp;$AU30,Codes!$A$2:$A$108,0)))</f>
        <v>1</v>
      </c>
      <c r="CA30" s="16" t="n">
        <f aca="false">IF($H30="","",INDEX(Codes!$E$2:$E$108,MATCH("A6|"&amp;$H30,Codes!$A$2:$A$108,0)))</f>
        <v>2</v>
      </c>
      <c r="CB30" s="16" t="n">
        <f aca="false">IF($X30="","",IF($X30="phone",1,0))</f>
        <v>0</v>
      </c>
      <c r="CC30" s="16" t="n">
        <f aca="false">IF($BC30="","",8-$BC30)</f>
        <v>5</v>
      </c>
      <c r="CD30" s="12" t="s">
        <v>614</v>
      </c>
      <c r="CE30" s="12" t="n">
        <v>-1.096</v>
      </c>
      <c r="CF30" s="12" t="n">
        <v>1.546</v>
      </c>
    </row>
    <row r="31" customFormat="false" ht="15" hidden="false" customHeight="false" outlineLevel="0" collapsed="false">
      <c r="A31" s="12" t="s">
        <v>727</v>
      </c>
      <c r="B31" s="12" t="s">
        <v>728</v>
      </c>
      <c r="C31" s="12" t="s">
        <v>271</v>
      </c>
      <c r="D31" s="12" t="s">
        <v>291</v>
      </c>
      <c r="E31" s="12" t="s">
        <v>308</v>
      </c>
      <c r="F31" s="12" t="s">
        <v>315</v>
      </c>
      <c r="G31" s="12" t="s">
        <v>333</v>
      </c>
      <c r="H31" s="12" t="s">
        <v>347</v>
      </c>
      <c r="I31" s="12" t="s">
        <v>362</v>
      </c>
      <c r="J31" s="12" t="n">
        <v>1</v>
      </c>
      <c r="K31" s="12" t="n">
        <v>0</v>
      </c>
      <c r="L31" s="12" t="n">
        <v>0</v>
      </c>
      <c r="M31" s="12" t="n">
        <v>0</v>
      </c>
      <c r="N31" s="12" t="n">
        <v>0</v>
      </c>
      <c r="O31" s="12" t="n">
        <v>0</v>
      </c>
      <c r="P31" s="12" t="n">
        <v>0</v>
      </c>
      <c r="Q31" s="12" t="n">
        <v>6</v>
      </c>
      <c r="R31" s="12" t="s">
        <v>404</v>
      </c>
      <c r="S31" s="12" t="n">
        <v>1</v>
      </c>
      <c r="T31" s="12" t="n">
        <v>0</v>
      </c>
      <c r="U31" s="12" t="n">
        <v>1</v>
      </c>
      <c r="V31" s="12" t="n">
        <v>1</v>
      </c>
      <c r="W31" s="12" t="n">
        <v>1</v>
      </c>
      <c r="X31" s="12" t="s">
        <v>407</v>
      </c>
      <c r="Y31" s="12" t="s">
        <v>428</v>
      </c>
      <c r="Z31" s="12" t="n">
        <v>1</v>
      </c>
      <c r="AA31" s="12" t="n">
        <v>1</v>
      </c>
      <c r="AB31" s="12" t="n">
        <v>1</v>
      </c>
      <c r="AC31" s="12" t="n">
        <v>0</v>
      </c>
      <c r="AD31" s="12" t="n">
        <v>0</v>
      </c>
      <c r="AE31" s="12" t="n">
        <v>0</v>
      </c>
      <c r="AF31" s="12" t="n">
        <v>0</v>
      </c>
      <c r="AG31" s="12" t="n">
        <v>0</v>
      </c>
      <c r="AH31" s="12" t="n">
        <v>1</v>
      </c>
      <c r="AI31" s="12" t="n">
        <v>0</v>
      </c>
      <c r="AJ31" s="12" t="n">
        <v>0</v>
      </c>
      <c r="AK31" s="12" t="n">
        <v>0</v>
      </c>
      <c r="AL31" s="12" t="n">
        <v>1</v>
      </c>
      <c r="AM31" s="12" t="n">
        <v>0</v>
      </c>
      <c r="AN31" s="12" t="n">
        <v>0</v>
      </c>
      <c r="AO31" s="12" t="n">
        <v>0</v>
      </c>
      <c r="AP31" s="12" t="n">
        <v>1</v>
      </c>
      <c r="AQ31" s="12" t="n">
        <v>0</v>
      </c>
      <c r="AR31" s="12" t="n">
        <v>0</v>
      </c>
      <c r="AS31" s="12" t="n">
        <v>0</v>
      </c>
      <c r="AT31" s="12" t="s">
        <v>507</v>
      </c>
      <c r="AU31" s="12" t="s">
        <v>343</v>
      </c>
      <c r="AV31" s="12" t="n">
        <v>0</v>
      </c>
      <c r="AW31" s="12" t="n">
        <v>0</v>
      </c>
      <c r="AX31" s="12" t="n">
        <v>1</v>
      </c>
      <c r="AY31" s="12" t="n">
        <v>1</v>
      </c>
      <c r="AZ31" s="12" t="n">
        <v>0</v>
      </c>
      <c r="BA31" s="12" t="n">
        <v>0</v>
      </c>
      <c r="BB31" s="12" t="n">
        <v>4</v>
      </c>
      <c r="BC31" s="12" t="n">
        <v>5</v>
      </c>
      <c r="BD31" s="12" t="n">
        <v>6</v>
      </c>
      <c r="BE31" s="12" t="n">
        <v>6</v>
      </c>
      <c r="BF31" s="12" t="n">
        <v>5</v>
      </c>
      <c r="BG31" s="12" t="n">
        <v>2</v>
      </c>
      <c r="BH31" s="12" t="n">
        <v>3</v>
      </c>
      <c r="BI31" s="12" t="n">
        <v>7</v>
      </c>
      <c r="BJ31" s="12" t="n">
        <v>6</v>
      </c>
      <c r="BK31" s="12" t="n">
        <v>3</v>
      </c>
      <c r="BL31" s="12" t="n">
        <v>6</v>
      </c>
      <c r="BM31" s="12" t="n">
        <v>4</v>
      </c>
      <c r="BN31" s="12" t="n">
        <v>3</v>
      </c>
      <c r="BO31" s="12" t="n">
        <v>1</v>
      </c>
      <c r="BP31" s="12" t="n">
        <v>2</v>
      </c>
      <c r="BQ31" s="12" t="n">
        <v>4</v>
      </c>
      <c r="BR31" s="12" t="n">
        <v>5</v>
      </c>
      <c r="BS31" s="12" t="n">
        <v>6</v>
      </c>
      <c r="BT31" s="12" t="s">
        <v>729</v>
      </c>
      <c r="BU31" s="12" t="s">
        <v>730</v>
      </c>
      <c r="BV31" s="12"/>
      <c r="BW31" s="16" t="n">
        <f aca="false">IF($R31="","",INDEX(Codes!$E$2:$E$108,MATCH("B1|"&amp;$R31,Codes!$A$2:$A$108,0)))</f>
        <v>6</v>
      </c>
      <c r="BX31" s="16" t="n">
        <f aca="false">IF($Y31="","",INDEX(Codes!$E$2:$E$108,MATCH("B4|"&amp;$Y31,Codes!$A$2:$A$108,0)))</f>
        <v>1</v>
      </c>
      <c r="BY31" s="16" t="n">
        <f aca="false">IF($I31="","",INDEX(Codes!$E$2:$E$108,MATCH("A7|"&amp;$I31,Codes!$A$2:$A$108,0)))</f>
        <v>2</v>
      </c>
      <c r="BZ31" s="16" t="n">
        <f aca="false">IF($AU31="","",INDEX(Codes!$E$2:$E$108,MATCH("B8|"&amp;$AU31,Codes!$A$2:$A$108,0)))</f>
        <v>1</v>
      </c>
      <c r="CA31" s="16" t="n">
        <f aca="false">IF($H31="","",INDEX(Codes!$E$2:$E$108,MATCH("A6|"&amp;$H31,Codes!$A$2:$A$108,0)))</f>
        <v>3</v>
      </c>
      <c r="CB31" s="16" t="n">
        <f aca="false">IF($X31="","",IF($X31="phone",1,0))</f>
        <v>0</v>
      </c>
      <c r="CC31" s="16" t="n">
        <f aca="false">IF($BC31="","",8-$BC31)</f>
        <v>3</v>
      </c>
      <c r="CD31" s="12" t="s">
        <v>643</v>
      </c>
      <c r="CE31" s="12" t="n">
        <v>-2.621</v>
      </c>
      <c r="CF31" s="12" t="n">
        <v>-0.135</v>
      </c>
    </row>
    <row r="32" customFormat="false" ht="15" hidden="false" customHeight="false" outlineLevel="0" collapsed="false">
      <c r="A32" s="12" t="s">
        <v>731</v>
      </c>
      <c r="B32" s="12" t="s">
        <v>732</v>
      </c>
      <c r="C32" s="12" t="s">
        <v>280</v>
      </c>
      <c r="D32" s="12" t="s">
        <v>299</v>
      </c>
      <c r="E32" s="12" t="s">
        <v>305</v>
      </c>
      <c r="F32" s="12" t="s">
        <v>318</v>
      </c>
      <c r="G32" s="12" t="s">
        <v>339</v>
      </c>
      <c r="H32" s="12" t="s">
        <v>347</v>
      </c>
      <c r="I32" s="12" t="s">
        <v>359</v>
      </c>
      <c r="J32" s="12" t="n">
        <v>1</v>
      </c>
      <c r="K32" s="12" t="n">
        <v>0</v>
      </c>
      <c r="L32" s="12" t="n">
        <v>0</v>
      </c>
      <c r="M32" s="12" t="n">
        <v>0</v>
      </c>
      <c r="N32" s="12" t="n">
        <v>0</v>
      </c>
      <c r="O32" s="12" t="n">
        <v>0</v>
      </c>
      <c r="P32" s="12" t="n">
        <v>0</v>
      </c>
      <c r="Q32" s="12" t="n">
        <v>4</v>
      </c>
      <c r="R32" s="12" t="s">
        <v>401</v>
      </c>
      <c r="S32" s="12" t="n">
        <v>1</v>
      </c>
      <c r="T32" s="12" t="n">
        <v>1</v>
      </c>
      <c r="U32" s="12" t="n">
        <v>0</v>
      </c>
      <c r="V32" s="12" t="n">
        <v>1</v>
      </c>
      <c r="W32" s="12" t="n">
        <v>0</v>
      </c>
      <c r="X32" s="12" t="s">
        <v>410</v>
      </c>
      <c r="Y32" s="12" t="s">
        <v>440</v>
      </c>
      <c r="Z32" s="12" t="n">
        <v>1</v>
      </c>
      <c r="AA32" s="12" t="n">
        <v>1</v>
      </c>
      <c r="AB32" s="12" t="n">
        <v>1</v>
      </c>
      <c r="AC32" s="12" t="n">
        <v>1</v>
      </c>
      <c r="AD32" s="12" t="n">
        <v>0</v>
      </c>
      <c r="AE32" s="12" t="n">
        <v>1</v>
      </c>
      <c r="AF32" s="12" t="n">
        <v>1</v>
      </c>
      <c r="AG32" s="12" t="n">
        <v>0</v>
      </c>
      <c r="AH32" s="12" t="n">
        <v>1</v>
      </c>
      <c r="AI32" s="12" t="n">
        <v>1</v>
      </c>
      <c r="AJ32" s="12" t="n">
        <v>0</v>
      </c>
      <c r="AK32" s="12" t="n">
        <v>0</v>
      </c>
      <c r="AL32" s="12" t="n">
        <v>1</v>
      </c>
      <c r="AM32" s="12" t="n">
        <v>0</v>
      </c>
      <c r="AN32" s="12" t="n">
        <v>0</v>
      </c>
      <c r="AO32" s="12" t="n">
        <v>0</v>
      </c>
      <c r="AP32" s="12" t="n">
        <v>0</v>
      </c>
      <c r="AQ32" s="12" t="n">
        <v>1</v>
      </c>
      <c r="AR32" s="12" t="n">
        <v>1</v>
      </c>
      <c r="AS32" s="12" t="n">
        <v>0</v>
      </c>
      <c r="AT32" s="12" t="s">
        <v>480</v>
      </c>
      <c r="AU32" s="12" t="s">
        <v>356</v>
      </c>
      <c r="AV32" s="12" t="n">
        <v>1</v>
      </c>
      <c r="AW32" s="12" t="n">
        <v>1</v>
      </c>
      <c r="AX32" s="12" t="n">
        <v>1</v>
      </c>
      <c r="AY32" s="12" t="n">
        <v>0</v>
      </c>
      <c r="AZ32" s="12" t="n">
        <v>1</v>
      </c>
      <c r="BA32" s="12" t="n">
        <v>0</v>
      </c>
      <c r="BB32" s="12" t="n">
        <v>4</v>
      </c>
      <c r="BC32" s="12" t="n">
        <v>4</v>
      </c>
      <c r="BD32" s="12" t="n">
        <v>5</v>
      </c>
      <c r="BE32" s="12" t="n">
        <v>5</v>
      </c>
      <c r="BF32" s="12" t="n">
        <v>2</v>
      </c>
      <c r="BG32" s="12" t="n">
        <v>5</v>
      </c>
      <c r="BH32" s="12" t="n">
        <v>5</v>
      </c>
      <c r="BI32" s="12" t="n">
        <v>5</v>
      </c>
      <c r="BJ32" s="12" t="n">
        <v>6</v>
      </c>
      <c r="BK32" s="12" t="n">
        <v>5</v>
      </c>
      <c r="BL32" s="12" t="n">
        <v>3</v>
      </c>
      <c r="BM32" s="12" t="n">
        <v>5</v>
      </c>
      <c r="BN32" s="12" t="n">
        <v>2</v>
      </c>
      <c r="BO32" s="12" t="n">
        <v>4</v>
      </c>
      <c r="BP32" s="12" t="n">
        <v>1</v>
      </c>
      <c r="BQ32" s="12" t="n">
        <v>3</v>
      </c>
      <c r="BR32" s="12" t="n">
        <v>6</v>
      </c>
      <c r="BS32" s="12" t="n">
        <v>5</v>
      </c>
      <c r="BT32" s="12" t="s">
        <v>733</v>
      </c>
      <c r="BU32" s="12" t="s">
        <v>734</v>
      </c>
      <c r="BV32" s="12"/>
      <c r="BW32" s="16" t="n">
        <f aca="false">IF($R32="","",INDEX(Codes!$E$2:$E$108,MATCH("B1|"&amp;$R32,Codes!$A$2:$A$108,0)))</f>
        <v>5</v>
      </c>
      <c r="BX32" s="16" t="n">
        <f aca="false">IF($Y32="","",INDEX(Codes!$E$2:$E$108,MATCH("B4|"&amp;$Y32,Codes!$A$2:$A$108,0)))</f>
        <v>5</v>
      </c>
      <c r="BY32" s="16" t="n">
        <f aca="false">IF($I32="","",INDEX(Codes!$E$2:$E$108,MATCH("A7|"&amp;$I32,Codes!$A$2:$A$108,0)))</f>
        <v>1</v>
      </c>
      <c r="BZ32" s="16" t="n">
        <f aca="false">IF($AU32="","",INDEX(Codes!$E$2:$E$108,MATCH("B8|"&amp;$AU32,Codes!$A$2:$A$108,0)))</f>
        <v>0</v>
      </c>
      <c r="CA32" s="16" t="n">
        <f aca="false">IF($H32="","",INDEX(Codes!$E$2:$E$108,MATCH("A6|"&amp;$H32,Codes!$A$2:$A$108,0)))</f>
        <v>3</v>
      </c>
      <c r="CB32" s="16" t="n">
        <f aca="false">IF($X32="","",IF($X32="phone",1,0))</f>
        <v>0</v>
      </c>
      <c r="CC32" s="16" t="n">
        <f aca="false">IF($BC32="","",8-$BC32)</f>
        <v>4</v>
      </c>
      <c r="CD32" s="12" t="s">
        <v>614</v>
      </c>
      <c r="CE32" s="12" t="n">
        <v>-1.471</v>
      </c>
      <c r="CF32" s="12" t="n">
        <v>1.555</v>
      </c>
    </row>
    <row r="33" customFormat="false" ht="15" hidden="false" customHeight="false" outlineLevel="0" collapsed="false">
      <c r="A33" s="12" t="s">
        <v>735</v>
      </c>
      <c r="B33" s="12" t="s">
        <v>736</v>
      </c>
      <c r="C33" s="12" t="s">
        <v>274</v>
      </c>
      <c r="D33" s="12" t="s">
        <v>289</v>
      </c>
      <c r="E33" s="12" t="s">
        <v>305</v>
      </c>
      <c r="F33" s="12" t="s">
        <v>315</v>
      </c>
      <c r="G33" s="12" t="s">
        <v>336</v>
      </c>
      <c r="H33" s="12" t="s">
        <v>345</v>
      </c>
      <c r="I33" s="12" t="s">
        <v>359</v>
      </c>
      <c r="J33" s="12" t="n">
        <v>1</v>
      </c>
      <c r="K33" s="12" t="n">
        <v>0</v>
      </c>
      <c r="L33" s="12" t="n">
        <v>0</v>
      </c>
      <c r="M33" s="12" t="n">
        <v>0</v>
      </c>
      <c r="N33" s="12" t="n">
        <v>0</v>
      </c>
      <c r="O33" s="12" t="n">
        <v>0</v>
      </c>
      <c r="P33" s="12" t="n">
        <v>0</v>
      </c>
      <c r="Q33" s="12" t="n">
        <v>6</v>
      </c>
      <c r="R33" s="12" t="s">
        <v>401</v>
      </c>
      <c r="S33" s="12" t="n">
        <v>1</v>
      </c>
      <c r="T33" s="12" t="n">
        <v>0</v>
      </c>
      <c r="U33" s="12" t="n">
        <v>0</v>
      </c>
      <c r="V33" s="12" t="n">
        <v>1</v>
      </c>
      <c r="W33" s="12" t="n">
        <v>0</v>
      </c>
      <c r="X33" s="12" t="s">
        <v>424</v>
      </c>
      <c r="Y33" s="12" t="s">
        <v>431</v>
      </c>
      <c r="Z33" s="12" t="n">
        <v>0</v>
      </c>
      <c r="AA33" s="12" t="n">
        <v>1</v>
      </c>
      <c r="AB33" s="12" t="n">
        <v>1</v>
      </c>
      <c r="AC33" s="12" t="n">
        <v>0</v>
      </c>
      <c r="AD33" s="12" t="n">
        <v>1</v>
      </c>
      <c r="AE33" s="12" t="n">
        <v>0</v>
      </c>
      <c r="AF33" s="12" t="n">
        <v>0</v>
      </c>
      <c r="AG33" s="12" t="n">
        <v>0</v>
      </c>
      <c r="AH33" s="12" t="n">
        <v>0</v>
      </c>
      <c r="AI33" s="12" t="n">
        <v>1</v>
      </c>
      <c r="AJ33" s="12" t="n">
        <v>1</v>
      </c>
      <c r="AK33" s="12" t="n">
        <v>0</v>
      </c>
      <c r="AL33" s="12" t="n">
        <v>0</v>
      </c>
      <c r="AM33" s="12" t="n">
        <v>0</v>
      </c>
      <c r="AN33" s="12" t="n">
        <v>0</v>
      </c>
      <c r="AO33" s="12" t="n">
        <v>0</v>
      </c>
      <c r="AP33" s="12" t="n">
        <v>1</v>
      </c>
      <c r="AQ33" s="12" t="n">
        <v>0</v>
      </c>
      <c r="AR33" s="12" t="n">
        <v>0</v>
      </c>
      <c r="AS33" s="12" t="n">
        <v>0</v>
      </c>
      <c r="AT33" s="12" t="s">
        <v>483</v>
      </c>
      <c r="AU33" s="12" t="s">
        <v>356</v>
      </c>
      <c r="AV33" s="12" t="n">
        <v>0</v>
      </c>
      <c r="AW33" s="12" t="n">
        <v>0</v>
      </c>
      <c r="AX33" s="12" t="n">
        <v>1</v>
      </c>
      <c r="AY33" s="12" t="n">
        <v>1</v>
      </c>
      <c r="AZ33" s="12" t="n">
        <v>0</v>
      </c>
      <c r="BA33" s="12" t="n">
        <v>0</v>
      </c>
      <c r="BB33" s="12" t="n">
        <v>3</v>
      </c>
      <c r="BC33" s="12" t="n">
        <v>6</v>
      </c>
      <c r="BD33" s="12" t="n">
        <v>5</v>
      </c>
      <c r="BE33" s="12" t="n">
        <v>6</v>
      </c>
      <c r="BF33" s="12" t="n">
        <v>2</v>
      </c>
      <c r="BG33" s="12" t="n">
        <v>1</v>
      </c>
      <c r="BH33" s="12" t="n">
        <v>4</v>
      </c>
      <c r="BI33" s="12" t="n">
        <v>7</v>
      </c>
      <c r="BJ33" s="12" t="n">
        <v>7</v>
      </c>
      <c r="BK33" s="12" t="n">
        <v>4</v>
      </c>
      <c r="BL33" s="12" t="n">
        <v>3</v>
      </c>
      <c r="BM33" s="12" t="n">
        <v>4</v>
      </c>
      <c r="BN33" s="12" t="n">
        <v>3</v>
      </c>
      <c r="BO33" s="12" t="n">
        <v>1</v>
      </c>
      <c r="BP33" s="12" t="n">
        <v>2</v>
      </c>
      <c r="BQ33" s="12" t="n">
        <v>4</v>
      </c>
      <c r="BR33" s="12" t="n">
        <v>5</v>
      </c>
      <c r="BS33" s="12" t="n">
        <v>6</v>
      </c>
      <c r="BT33" s="12" t="s">
        <v>737</v>
      </c>
      <c r="BU33" s="12" t="s">
        <v>730</v>
      </c>
      <c r="BV33" s="12"/>
      <c r="BW33" s="16" t="n">
        <f aca="false">IF($R33="","",INDEX(Codes!$E$2:$E$108,MATCH("B1|"&amp;$R33,Codes!$A$2:$A$108,0)))</f>
        <v>5</v>
      </c>
      <c r="BX33" s="16" t="n">
        <f aca="false">IF($Y33="","",INDEX(Codes!$E$2:$E$108,MATCH("B4|"&amp;$Y33,Codes!$A$2:$A$108,0)))</f>
        <v>2</v>
      </c>
      <c r="BY33" s="16" t="n">
        <f aca="false">IF($I33="","",INDEX(Codes!$E$2:$E$108,MATCH("A7|"&amp;$I33,Codes!$A$2:$A$108,0)))</f>
        <v>1</v>
      </c>
      <c r="BZ33" s="16" t="n">
        <f aca="false">IF($AU33="","",INDEX(Codes!$E$2:$E$108,MATCH("B8|"&amp;$AU33,Codes!$A$2:$A$108,0)))</f>
        <v>0</v>
      </c>
      <c r="CA33" s="16" t="n">
        <f aca="false">IF($H33="","",INDEX(Codes!$E$2:$E$108,MATCH("A6|"&amp;$H33,Codes!$A$2:$A$108,0)))</f>
        <v>2</v>
      </c>
      <c r="CB33" s="16" t="n">
        <f aca="false">IF($X33="","",IF($X33="phone",1,0))</f>
        <v>1</v>
      </c>
      <c r="CC33" s="16" t="n">
        <f aca="false">IF($BC33="","",8-$BC33)</f>
        <v>2</v>
      </c>
      <c r="CD33" s="12" t="s">
        <v>643</v>
      </c>
      <c r="CE33" s="12" t="n">
        <v>-2.374</v>
      </c>
      <c r="CF33" s="12" t="n">
        <v>-0.138</v>
      </c>
    </row>
    <row r="34" customFormat="false" ht="15" hidden="false" customHeight="false" outlineLevel="0" collapsed="false">
      <c r="A34" s="12" t="s">
        <v>738</v>
      </c>
      <c r="B34" s="12" t="s">
        <v>739</v>
      </c>
      <c r="C34" s="12" t="s">
        <v>283</v>
      </c>
      <c r="D34" s="12" t="s">
        <v>293</v>
      </c>
      <c r="E34" s="12" t="s">
        <v>305</v>
      </c>
      <c r="F34" s="12" t="s">
        <v>330</v>
      </c>
      <c r="G34" s="12" t="s">
        <v>336</v>
      </c>
      <c r="H34" s="12" t="s">
        <v>345</v>
      </c>
      <c r="I34" s="12" t="s">
        <v>362</v>
      </c>
      <c r="J34" s="12" t="n">
        <v>1</v>
      </c>
      <c r="K34" s="12" t="n">
        <v>0</v>
      </c>
      <c r="L34" s="12" t="n">
        <v>0</v>
      </c>
      <c r="M34" s="12" t="n">
        <v>0</v>
      </c>
      <c r="N34" s="12" t="n">
        <v>0</v>
      </c>
      <c r="O34" s="12" t="n">
        <v>0</v>
      </c>
      <c r="P34" s="12" t="n">
        <v>0</v>
      </c>
      <c r="Q34" s="12" t="n">
        <v>5</v>
      </c>
      <c r="R34" s="12" t="s">
        <v>404</v>
      </c>
      <c r="S34" s="12" t="n">
        <v>1</v>
      </c>
      <c r="T34" s="12" t="n">
        <v>1</v>
      </c>
      <c r="U34" s="12" t="n">
        <v>1</v>
      </c>
      <c r="V34" s="12" t="n">
        <v>0</v>
      </c>
      <c r="W34" s="12" t="n">
        <v>0</v>
      </c>
      <c r="X34" s="12" t="s">
        <v>410</v>
      </c>
      <c r="Y34" s="12" t="s">
        <v>440</v>
      </c>
      <c r="Z34" s="12" t="n">
        <v>1</v>
      </c>
      <c r="AA34" s="12" t="n">
        <v>1</v>
      </c>
      <c r="AB34" s="12" t="n">
        <v>1</v>
      </c>
      <c r="AC34" s="12" t="n">
        <v>1</v>
      </c>
      <c r="AD34" s="12" t="n">
        <v>0</v>
      </c>
      <c r="AE34" s="12" t="n">
        <v>0</v>
      </c>
      <c r="AF34" s="12" t="n">
        <v>0</v>
      </c>
      <c r="AG34" s="12" t="n">
        <v>1</v>
      </c>
      <c r="AH34" s="12" t="n">
        <v>0</v>
      </c>
      <c r="AI34" s="12" t="n">
        <v>0</v>
      </c>
      <c r="AJ34" s="12" t="n">
        <v>0</v>
      </c>
      <c r="AK34" s="12" t="n">
        <v>0</v>
      </c>
      <c r="AL34" s="12" t="n">
        <v>0</v>
      </c>
      <c r="AM34" s="12" t="n">
        <v>1</v>
      </c>
      <c r="AN34" s="12" t="n">
        <v>0</v>
      </c>
      <c r="AO34" s="12" t="n">
        <v>0</v>
      </c>
      <c r="AP34" s="12" t="n">
        <v>0</v>
      </c>
      <c r="AQ34" s="12" t="n">
        <v>0</v>
      </c>
      <c r="AR34" s="12" t="n">
        <v>0</v>
      </c>
      <c r="AS34" s="12" t="n">
        <v>0</v>
      </c>
      <c r="AT34" s="12" t="s">
        <v>480</v>
      </c>
      <c r="AU34" s="12" t="s">
        <v>398</v>
      </c>
      <c r="AV34" s="12" t="n">
        <v>0</v>
      </c>
      <c r="AW34" s="12" t="n">
        <v>1</v>
      </c>
      <c r="AX34" s="12" t="n">
        <v>1</v>
      </c>
      <c r="AY34" s="12" t="n">
        <v>0</v>
      </c>
      <c r="AZ34" s="12" t="n">
        <v>1</v>
      </c>
      <c r="BA34" s="12" t="n">
        <v>0</v>
      </c>
      <c r="BB34" s="12" t="n">
        <v>2</v>
      </c>
      <c r="BC34" s="12" t="n">
        <v>7</v>
      </c>
      <c r="BD34" s="12" t="n">
        <v>4</v>
      </c>
      <c r="BE34" s="12" t="n">
        <v>6</v>
      </c>
      <c r="BF34" s="12" t="n">
        <v>3</v>
      </c>
      <c r="BG34" s="12" t="n">
        <v>4</v>
      </c>
      <c r="BH34" s="12" t="n">
        <v>6</v>
      </c>
      <c r="BI34" s="12" t="n">
        <v>6</v>
      </c>
      <c r="BJ34" s="12" t="n">
        <v>4</v>
      </c>
      <c r="BK34" s="12" t="n">
        <v>2</v>
      </c>
      <c r="BL34" s="12" t="n">
        <v>2</v>
      </c>
      <c r="BM34" s="12" t="n">
        <v>4</v>
      </c>
      <c r="BN34" s="12" t="n">
        <v>3</v>
      </c>
      <c r="BO34" s="12" t="n">
        <v>4</v>
      </c>
      <c r="BP34" s="12" t="n">
        <v>1</v>
      </c>
      <c r="BQ34" s="12" t="n">
        <v>2</v>
      </c>
      <c r="BR34" s="12" t="n">
        <v>6</v>
      </c>
      <c r="BS34" s="12" t="n">
        <v>5</v>
      </c>
      <c r="BT34" s="12" t="s">
        <v>740</v>
      </c>
      <c r="BU34" s="12" t="s">
        <v>741</v>
      </c>
      <c r="BV34" s="12" t="s">
        <v>742</v>
      </c>
      <c r="BW34" s="16" t="n">
        <f aca="false">IF($R34="","",INDEX(Codes!$E$2:$E$108,MATCH("B1|"&amp;$R34,Codes!$A$2:$A$108,0)))</f>
        <v>6</v>
      </c>
      <c r="BX34" s="16" t="n">
        <f aca="false">IF($Y34="","",INDEX(Codes!$E$2:$E$108,MATCH("B4|"&amp;$Y34,Codes!$A$2:$A$108,0)))</f>
        <v>5</v>
      </c>
      <c r="BY34" s="16" t="n">
        <f aca="false">IF($I34="","",INDEX(Codes!$E$2:$E$108,MATCH("A7|"&amp;$I34,Codes!$A$2:$A$108,0)))</f>
        <v>2</v>
      </c>
      <c r="BZ34" s="16" t="n">
        <f aca="false">IF($AU34="","",INDEX(Codes!$E$2:$E$108,MATCH("B8|"&amp;$AU34,Codes!$A$2:$A$108,0)))</f>
        <v>3</v>
      </c>
      <c r="CA34" s="16" t="n">
        <f aca="false">IF($H34="","",INDEX(Codes!$E$2:$E$108,MATCH("A6|"&amp;$H34,Codes!$A$2:$A$108,0)))</f>
        <v>2</v>
      </c>
      <c r="CB34" s="16" t="n">
        <f aca="false">IF($X34="","",IF($X34="phone",1,0))</f>
        <v>0</v>
      </c>
      <c r="CC34" s="16" t="n">
        <f aca="false">IF($BC34="","",8-$BC34)</f>
        <v>1</v>
      </c>
      <c r="CD34" s="12" t="s">
        <v>614</v>
      </c>
      <c r="CE34" s="12" t="n">
        <v>0.503</v>
      </c>
      <c r="CF34" s="12" t="n">
        <v>0.981</v>
      </c>
    </row>
    <row r="35" customFormat="false" ht="15" hidden="false" customHeight="false" outlineLevel="0" collapsed="false">
      <c r="A35" s="12" t="s">
        <v>743</v>
      </c>
      <c r="B35" s="12" t="s">
        <v>744</v>
      </c>
      <c r="C35" s="12" t="s">
        <v>271</v>
      </c>
      <c r="D35" s="12" t="s">
        <v>293</v>
      </c>
      <c r="E35" s="12" t="s">
        <v>305</v>
      </c>
      <c r="F35" s="12" t="s">
        <v>315</v>
      </c>
      <c r="G35" s="12" t="s">
        <v>333</v>
      </c>
      <c r="H35" s="12" t="s">
        <v>349</v>
      </c>
      <c r="I35" s="12" t="s">
        <v>359</v>
      </c>
      <c r="J35" s="12" t="n">
        <v>1</v>
      </c>
      <c r="K35" s="12" t="n">
        <v>0</v>
      </c>
      <c r="L35" s="12" t="n">
        <v>0</v>
      </c>
      <c r="M35" s="12" t="n">
        <v>0</v>
      </c>
      <c r="N35" s="12" t="n">
        <v>0</v>
      </c>
      <c r="O35" s="12" t="n">
        <v>0</v>
      </c>
      <c r="P35" s="12" t="n">
        <v>0</v>
      </c>
      <c r="Q35" s="12" t="n">
        <v>6</v>
      </c>
      <c r="R35" s="12" t="s">
        <v>404</v>
      </c>
      <c r="S35" s="12" t="n">
        <v>1</v>
      </c>
      <c r="T35" s="12" t="n">
        <v>0</v>
      </c>
      <c r="U35" s="12" t="n">
        <v>0</v>
      </c>
      <c r="V35" s="12" t="n">
        <v>1</v>
      </c>
      <c r="W35" s="12" t="n">
        <v>0</v>
      </c>
      <c r="X35" s="12" t="s">
        <v>424</v>
      </c>
      <c r="Y35" s="12" t="s">
        <v>428</v>
      </c>
      <c r="Z35" s="12" t="n">
        <v>0</v>
      </c>
      <c r="AA35" s="12" t="n">
        <v>1</v>
      </c>
      <c r="AB35" s="12" t="n">
        <v>1</v>
      </c>
      <c r="AC35" s="12" t="n">
        <v>1</v>
      </c>
      <c r="AD35" s="12" t="n">
        <v>1</v>
      </c>
      <c r="AE35" s="12" t="n">
        <v>0</v>
      </c>
      <c r="AF35" s="12" t="n">
        <v>0</v>
      </c>
      <c r="AG35" s="12" t="n">
        <v>1</v>
      </c>
      <c r="AH35" s="12" t="n">
        <v>0</v>
      </c>
      <c r="AI35" s="12" t="n">
        <v>0</v>
      </c>
      <c r="AJ35" s="12" t="n">
        <v>0</v>
      </c>
      <c r="AK35" s="12" t="n">
        <v>0</v>
      </c>
      <c r="AL35" s="12" t="n">
        <v>0</v>
      </c>
      <c r="AM35" s="12" t="n">
        <v>0</v>
      </c>
      <c r="AN35" s="12" t="n">
        <v>0</v>
      </c>
      <c r="AO35" s="12" t="n">
        <v>0</v>
      </c>
      <c r="AP35" s="12" t="n">
        <v>0</v>
      </c>
      <c r="AQ35" s="12" t="n">
        <v>0</v>
      </c>
      <c r="AR35" s="12" t="n">
        <v>0</v>
      </c>
      <c r="AS35" s="12" t="n">
        <v>1</v>
      </c>
      <c r="AT35" s="12" t="s">
        <v>504</v>
      </c>
      <c r="AU35" s="12" t="s">
        <v>343</v>
      </c>
      <c r="AV35" s="12" t="n">
        <v>1</v>
      </c>
      <c r="AW35" s="12" t="n">
        <v>1</v>
      </c>
      <c r="AX35" s="12" t="n">
        <v>0</v>
      </c>
      <c r="AY35" s="12" t="n">
        <v>0</v>
      </c>
      <c r="AZ35" s="12" t="n">
        <v>0</v>
      </c>
      <c r="BA35" s="12" t="n">
        <v>0</v>
      </c>
      <c r="BB35" s="12" t="n">
        <v>5</v>
      </c>
      <c r="BC35" s="12" t="n">
        <v>2</v>
      </c>
      <c r="BD35" s="12" t="n">
        <v>4</v>
      </c>
      <c r="BE35" s="12" t="n">
        <v>4</v>
      </c>
      <c r="BF35" s="12" t="n">
        <v>3</v>
      </c>
      <c r="BG35" s="12" t="n">
        <v>3</v>
      </c>
      <c r="BH35" s="12" t="n">
        <v>5</v>
      </c>
      <c r="BI35" s="12" t="n">
        <v>5</v>
      </c>
      <c r="BJ35" s="12" t="n">
        <v>7</v>
      </c>
      <c r="BK35" s="12" t="n">
        <v>6</v>
      </c>
      <c r="BL35" s="12" t="n">
        <v>6</v>
      </c>
      <c r="BM35" s="12" t="n">
        <v>4</v>
      </c>
      <c r="BN35" s="12" t="n">
        <v>3</v>
      </c>
      <c r="BO35" s="12" t="n">
        <v>2</v>
      </c>
      <c r="BP35" s="12" t="n">
        <v>1</v>
      </c>
      <c r="BQ35" s="12" t="n">
        <v>6</v>
      </c>
      <c r="BR35" s="12" t="n">
        <v>5</v>
      </c>
      <c r="BS35" s="12" t="n">
        <v>4</v>
      </c>
      <c r="BT35" s="12" t="s">
        <v>745</v>
      </c>
      <c r="BU35" s="12" t="s">
        <v>746</v>
      </c>
      <c r="BV35" s="12" t="s">
        <v>747</v>
      </c>
      <c r="BW35" s="16" t="n">
        <f aca="false">IF($R35="","",INDEX(Codes!$E$2:$E$108,MATCH("B1|"&amp;$R35,Codes!$A$2:$A$108,0)))</f>
        <v>6</v>
      </c>
      <c r="BX35" s="16" t="n">
        <f aca="false">IF($Y35="","",INDEX(Codes!$E$2:$E$108,MATCH("B4|"&amp;$Y35,Codes!$A$2:$A$108,0)))</f>
        <v>1</v>
      </c>
      <c r="BY35" s="16" t="n">
        <f aca="false">IF($I35="","",INDEX(Codes!$E$2:$E$108,MATCH("A7|"&amp;$I35,Codes!$A$2:$A$108,0)))</f>
        <v>1</v>
      </c>
      <c r="BZ35" s="16" t="n">
        <f aca="false">IF($AU35="","",INDEX(Codes!$E$2:$E$108,MATCH("B8|"&amp;$AU35,Codes!$A$2:$A$108,0)))</f>
        <v>1</v>
      </c>
      <c r="CA35" s="16" t="n">
        <f aca="false">IF($H35="","",INDEX(Codes!$E$2:$E$108,MATCH("A6|"&amp;$H35,Codes!$A$2:$A$108,0)))</f>
        <v>4</v>
      </c>
      <c r="CB35" s="16" t="n">
        <f aca="false">IF($X35="","",IF($X35="phone",1,0))</f>
        <v>1</v>
      </c>
      <c r="CC35" s="16" t="n">
        <f aca="false">IF($BC35="","",8-$BC35)</f>
        <v>6</v>
      </c>
      <c r="CD35" s="12" t="s">
        <v>643</v>
      </c>
      <c r="CE35" s="12" t="n">
        <v>-4.256</v>
      </c>
      <c r="CF35" s="12" t="n">
        <v>0.886</v>
      </c>
    </row>
    <row r="36" customFormat="false" ht="15" hidden="false" customHeight="false" outlineLevel="0" collapsed="false">
      <c r="A36" s="12" t="s">
        <v>748</v>
      </c>
      <c r="B36" s="12" t="s">
        <v>749</v>
      </c>
      <c r="C36" s="12" t="s">
        <v>274</v>
      </c>
      <c r="D36" s="12" t="s">
        <v>291</v>
      </c>
      <c r="E36" s="12" t="s">
        <v>308</v>
      </c>
      <c r="F36" s="12" t="s">
        <v>315</v>
      </c>
      <c r="G36" s="12" t="s">
        <v>333</v>
      </c>
      <c r="H36" s="12" t="s">
        <v>347</v>
      </c>
      <c r="I36" s="12" t="s">
        <v>368</v>
      </c>
      <c r="J36" s="12" t="n">
        <v>1</v>
      </c>
      <c r="K36" s="12" t="n">
        <v>0</v>
      </c>
      <c r="L36" s="12" t="n">
        <v>0</v>
      </c>
      <c r="M36" s="12" t="n">
        <v>0</v>
      </c>
      <c r="N36" s="12" t="n">
        <v>0</v>
      </c>
      <c r="O36" s="12" t="n">
        <v>0</v>
      </c>
      <c r="P36" s="12" t="n">
        <v>0</v>
      </c>
      <c r="Q36" s="12" t="n">
        <v>6</v>
      </c>
      <c r="R36" s="12" t="s">
        <v>395</v>
      </c>
      <c r="S36" s="12" t="n">
        <v>0</v>
      </c>
      <c r="T36" s="12" t="n">
        <v>0</v>
      </c>
      <c r="U36" s="12" t="n">
        <v>1</v>
      </c>
      <c r="V36" s="12" t="n">
        <v>1</v>
      </c>
      <c r="W36" s="12" t="n">
        <v>0</v>
      </c>
      <c r="X36" s="12" t="s">
        <v>407</v>
      </c>
      <c r="Y36" s="12" t="s">
        <v>431</v>
      </c>
      <c r="Z36" s="12" t="n">
        <v>1</v>
      </c>
      <c r="AA36" s="12" t="n">
        <v>1</v>
      </c>
      <c r="AB36" s="12" t="n">
        <v>0</v>
      </c>
      <c r="AC36" s="12" t="n">
        <v>0</v>
      </c>
      <c r="AD36" s="12" t="n">
        <v>1</v>
      </c>
      <c r="AE36" s="12" t="n">
        <v>0</v>
      </c>
      <c r="AF36" s="12" t="n">
        <v>0</v>
      </c>
      <c r="AG36" s="12" t="n">
        <v>0</v>
      </c>
      <c r="AH36" s="12" t="n">
        <v>1</v>
      </c>
      <c r="AI36" s="12" t="n">
        <v>0</v>
      </c>
      <c r="AJ36" s="12" t="n">
        <v>0</v>
      </c>
      <c r="AK36" s="12" t="n">
        <v>0</v>
      </c>
      <c r="AL36" s="12" t="n">
        <v>0</v>
      </c>
      <c r="AM36" s="12" t="n">
        <v>0</v>
      </c>
      <c r="AN36" s="12" t="n">
        <v>0</v>
      </c>
      <c r="AO36" s="12" t="n">
        <v>0</v>
      </c>
      <c r="AP36" s="12" t="n">
        <v>1</v>
      </c>
      <c r="AQ36" s="12" t="n">
        <v>1</v>
      </c>
      <c r="AR36" s="12" t="n">
        <v>0</v>
      </c>
      <c r="AS36" s="12" t="n">
        <v>1</v>
      </c>
      <c r="AT36" s="12" t="s">
        <v>480</v>
      </c>
      <c r="AU36" s="12" t="s">
        <v>343</v>
      </c>
      <c r="AV36" s="12" t="n">
        <v>0</v>
      </c>
      <c r="AW36" s="12" t="n">
        <v>1</v>
      </c>
      <c r="AX36" s="12" t="n">
        <v>0</v>
      </c>
      <c r="AY36" s="12" t="n">
        <v>0</v>
      </c>
      <c r="AZ36" s="12" t="n">
        <v>0</v>
      </c>
      <c r="BA36" s="12" t="n">
        <v>0</v>
      </c>
      <c r="BB36" s="12" t="n">
        <v>1</v>
      </c>
      <c r="BC36" s="12" t="n">
        <v>7</v>
      </c>
      <c r="BD36" s="12" t="n">
        <v>3</v>
      </c>
      <c r="BE36" s="12" t="n">
        <v>5</v>
      </c>
      <c r="BF36" s="12" t="n">
        <v>5</v>
      </c>
      <c r="BG36" s="12" t="n">
        <v>3</v>
      </c>
      <c r="BH36" s="12" t="n">
        <v>3</v>
      </c>
      <c r="BI36" s="12" t="n">
        <v>5</v>
      </c>
      <c r="BJ36" s="12" t="n">
        <v>5</v>
      </c>
      <c r="BK36" s="12" t="n">
        <v>3</v>
      </c>
      <c r="BL36" s="12" t="n">
        <v>2</v>
      </c>
      <c r="BM36" s="12" t="n">
        <v>3</v>
      </c>
      <c r="BN36" s="12" t="n">
        <v>3</v>
      </c>
      <c r="BO36" s="12" t="n">
        <v>1</v>
      </c>
      <c r="BP36" s="12" t="n">
        <v>4</v>
      </c>
      <c r="BQ36" s="12" t="n">
        <v>5</v>
      </c>
      <c r="BR36" s="12" t="n">
        <v>2</v>
      </c>
      <c r="BS36" s="12" t="n">
        <v>6</v>
      </c>
      <c r="BT36" s="12" t="s">
        <v>750</v>
      </c>
      <c r="BU36" s="12" t="s">
        <v>751</v>
      </c>
      <c r="BV36" s="12" t="s">
        <v>752</v>
      </c>
      <c r="BW36" s="16" t="n">
        <f aca="false">IF($R36="","",INDEX(Codes!$E$2:$E$108,MATCH("B1|"&amp;$R36,Codes!$A$2:$A$108,0)))</f>
        <v>3</v>
      </c>
      <c r="BX36" s="16" t="n">
        <f aca="false">IF($Y36="","",INDEX(Codes!$E$2:$E$108,MATCH("B4|"&amp;$Y36,Codes!$A$2:$A$108,0)))</f>
        <v>2</v>
      </c>
      <c r="BY36" s="16" t="n">
        <f aca="false">IF($I36="","",INDEX(Codes!$E$2:$E$108,MATCH("A7|"&amp;$I36,Codes!$A$2:$A$108,0)))</f>
        <v>4</v>
      </c>
      <c r="BZ36" s="16" t="n">
        <f aca="false">IF($AU36="","",INDEX(Codes!$E$2:$E$108,MATCH("B8|"&amp;$AU36,Codes!$A$2:$A$108,0)))</f>
        <v>1</v>
      </c>
      <c r="CA36" s="16" t="n">
        <f aca="false">IF($H36="","",INDEX(Codes!$E$2:$E$108,MATCH("A6|"&amp;$H36,Codes!$A$2:$A$108,0)))</f>
        <v>3</v>
      </c>
      <c r="CB36" s="16" t="n">
        <f aca="false">IF($X36="","",IF($X36="phone",1,0))</f>
        <v>0</v>
      </c>
      <c r="CC36" s="16" t="n">
        <f aca="false">IF($BC36="","",8-$BC36)</f>
        <v>1</v>
      </c>
      <c r="CD36" s="12" t="s">
        <v>648</v>
      </c>
      <c r="CE36" s="12" t="n">
        <v>2.107</v>
      </c>
      <c r="CF36" s="12" t="n">
        <v>-1.759</v>
      </c>
    </row>
    <row r="37" customFormat="false" ht="15" hidden="false" customHeight="false" outlineLevel="0" collapsed="false">
      <c r="A37" s="12" t="s">
        <v>753</v>
      </c>
      <c r="B37" s="12" t="s">
        <v>754</v>
      </c>
      <c r="C37" s="12" t="s">
        <v>280</v>
      </c>
      <c r="D37" s="12" t="s">
        <v>295</v>
      </c>
      <c r="E37" s="12" t="s">
        <v>308</v>
      </c>
      <c r="F37" s="12" t="s">
        <v>324</v>
      </c>
      <c r="G37" s="12" t="s">
        <v>333</v>
      </c>
      <c r="H37" s="12" t="s">
        <v>343</v>
      </c>
      <c r="I37" s="12" t="s">
        <v>356</v>
      </c>
      <c r="J37" s="12" t="n">
        <v>1</v>
      </c>
      <c r="K37" s="12" t="n">
        <v>0</v>
      </c>
      <c r="L37" s="12" t="n">
        <v>0</v>
      </c>
      <c r="M37" s="12" t="n">
        <v>0</v>
      </c>
      <c r="N37" s="12" t="n">
        <v>0</v>
      </c>
      <c r="O37" s="12" t="n">
        <v>0</v>
      </c>
      <c r="P37" s="12" t="n">
        <v>0</v>
      </c>
      <c r="Q37" s="12" t="n">
        <v>3</v>
      </c>
      <c r="R37" s="12" t="s">
        <v>390</v>
      </c>
      <c r="S37" s="12" t="n">
        <v>1</v>
      </c>
      <c r="T37" s="12" t="n">
        <v>1</v>
      </c>
      <c r="U37" s="12" t="n">
        <v>0</v>
      </c>
      <c r="V37" s="12" t="n">
        <v>0</v>
      </c>
      <c r="W37" s="12" t="n">
        <v>0</v>
      </c>
      <c r="X37" s="12" t="s">
        <v>410</v>
      </c>
      <c r="Y37" s="12" t="s">
        <v>434</v>
      </c>
      <c r="Z37" s="12" t="n">
        <v>1</v>
      </c>
      <c r="AA37" s="12" t="n">
        <v>0</v>
      </c>
      <c r="AB37" s="12" t="n">
        <v>0</v>
      </c>
      <c r="AC37" s="12" t="n">
        <v>1</v>
      </c>
      <c r="AD37" s="12" t="n">
        <v>0</v>
      </c>
      <c r="AE37" s="12" t="n">
        <v>1</v>
      </c>
      <c r="AF37" s="12" t="n">
        <v>0</v>
      </c>
      <c r="AG37" s="12" t="n">
        <v>0</v>
      </c>
      <c r="AH37" s="12" t="n">
        <v>0</v>
      </c>
      <c r="AI37" s="12" t="n">
        <v>0</v>
      </c>
      <c r="AJ37" s="12" t="n">
        <v>0</v>
      </c>
      <c r="AK37" s="12" t="n">
        <v>0</v>
      </c>
      <c r="AL37" s="12" t="n">
        <v>1</v>
      </c>
      <c r="AM37" s="12" t="n">
        <v>0</v>
      </c>
      <c r="AN37" s="12" t="n">
        <v>0</v>
      </c>
      <c r="AO37" s="12" t="n">
        <v>0</v>
      </c>
      <c r="AP37" s="12" t="n">
        <v>0</v>
      </c>
      <c r="AQ37" s="12" t="n">
        <v>1</v>
      </c>
      <c r="AR37" s="12" t="n">
        <v>1</v>
      </c>
      <c r="AS37" s="12" t="n">
        <v>0</v>
      </c>
      <c r="AT37" s="12" t="s">
        <v>480</v>
      </c>
      <c r="AU37" s="12" t="s">
        <v>343</v>
      </c>
      <c r="AV37" s="12" t="n">
        <v>1</v>
      </c>
      <c r="AW37" s="12" t="n">
        <v>1</v>
      </c>
      <c r="AX37" s="12" t="n">
        <v>0</v>
      </c>
      <c r="AY37" s="12" t="n">
        <v>0</v>
      </c>
      <c r="AZ37" s="12" t="n">
        <v>1</v>
      </c>
      <c r="BA37" s="12" t="n">
        <v>0</v>
      </c>
      <c r="BB37" s="12" t="n">
        <v>3</v>
      </c>
      <c r="BC37" s="12" t="n">
        <v>6</v>
      </c>
      <c r="BD37" s="12" t="n">
        <v>3</v>
      </c>
      <c r="BE37" s="12" t="n">
        <v>5</v>
      </c>
      <c r="BF37" s="12" t="n">
        <v>1</v>
      </c>
      <c r="BG37" s="12" t="n">
        <v>4</v>
      </c>
      <c r="BH37" s="12" t="n">
        <v>4</v>
      </c>
      <c r="BI37" s="12" t="n">
        <v>4</v>
      </c>
      <c r="BJ37" s="12" t="n">
        <v>5</v>
      </c>
      <c r="BK37" s="12" t="n">
        <v>3</v>
      </c>
      <c r="BL37" s="12" t="n">
        <v>4</v>
      </c>
      <c r="BM37" s="12" t="n">
        <v>2</v>
      </c>
      <c r="BN37" s="12" t="n">
        <v>1</v>
      </c>
      <c r="BO37" s="12" t="n">
        <v>3</v>
      </c>
      <c r="BP37" s="12" t="n">
        <v>4</v>
      </c>
      <c r="BQ37" s="12" t="n">
        <v>2</v>
      </c>
      <c r="BR37" s="12" t="n">
        <v>5</v>
      </c>
      <c r="BS37" s="12" t="n">
        <v>6</v>
      </c>
      <c r="BT37" s="12" t="s">
        <v>755</v>
      </c>
      <c r="BU37" s="12"/>
      <c r="BV37" s="12" t="s">
        <v>756</v>
      </c>
      <c r="BW37" s="16" t="n">
        <f aca="false">IF($R37="","",INDEX(Codes!$E$2:$E$108,MATCH("B1|"&amp;$R37,Codes!$A$2:$A$108,0)))</f>
        <v>1</v>
      </c>
      <c r="BX37" s="16" t="n">
        <f aca="false">IF($Y37="","",INDEX(Codes!$E$2:$E$108,MATCH("B4|"&amp;$Y37,Codes!$A$2:$A$108,0)))</f>
        <v>3</v>
      </c>
      <c r="BY37" s="16" t="n">
        <f aca="false">IF($I37="","",INDEX(Codes!$E$2:$E$108,MATCH("A7|"&amp;$I37,Codes!$A$2:$A$108,0)))</f>
        <v>0</v>
      </c>
      <c r="BZ37" s="16" t="n">
        <f aca="false">IF($AU37="","",INDEX(Codes!$E$2:$E$108,MATCH("B8|"&amp;$AU37,Codes!$A$2:$A$108,0)))</f>
        <v>1</v>
      </c>
      <c r="CA37" s="16" t="n">
        <f aca="false">IF($H37="","",INDEX(Codes!$E$2:$E$108,MATCH("A6|"&amp;$H37,Codes!$A$2:$A$108,0)))</f>
        <v>1</v>
      </c>
      <c r="CB37" s="16" t="n">
        <f aca="false">IF($X37="","",IF($X37="phone",1,0))</f>
        <v>0</v>
      </c>
      <c r="CC37" s="16" t="n">
        <f aca="false">IF($BC37="","",8-$BC37)</f>
        <v>2</v>
      </c>
      <c r="CD37" s="12" t="s">
        <v>631</v>
      </c>
      <c r="CE37" s="12" t="n">
        <v>1.775</v>
      </c>
      <c r="CF37" s="12" t="n">
        <v>-1.471</v>
      </c>
    </row>
    <row r="38" customFormat="false" ht="15" hidden="false" customHeight="false" outlineLevel="0" collapsed="false">
      <c r="A38" s="12" t="s">
        <v>757</v>
      </c>
      <c r="B38" s="12" t="s">
        <v>758</v>
      </c>
      <c r="C38" s="12" t="s">
        <v>280</v>
      </c>
      <c r="D38" s="12" t="s">
        <v>297</v>
      </c>
      <c r="E38" s="12" t="s">
        <v>308</v>
      </c>
      <c r="F38" s="12" t="s">
        <v>315</v>
      </c>
      <c r="G38" s="12" t="s">
        <v>333</v>
      </c>
      <c r="H38" s="12" t="s">
        <v>347</v>
      </c>
      <c r="I38" s="12" t="s">
        <v>356</v>
      </c>
      <c r="J38" s="12" t="n">
        <v>1</v>
      </c>
      <c r="K38" s="12" t="n">
        <v>0</v>
      </c>
      <c r="L38" s="12" t="n">
        <v>0</v>
      </c>
      <c r="M38" s="12" t="n">
        <v>0</v>
      </c>
      <c r="N38" s="12" t="n">
        <v>0</v>
      </c>
      <c r="O38" s="12" t="n">
        <v>0</v>
      </c>
      <c r="P38" s="12" t="n">
        <v>0</v>
      </c>
      <c r="Q38" s="12" t="n">
        <v>4</v>
      </c>
      <c r="R38" s="12" t="s">
        <v>343</v>
      </c>
      <c r="S38" s="12" t="n">
        <v>0</v>
      </c>
      <c r="T38" s="12" t="n">
        <v>1</v>
      </c>
      <c r="U38" s="12" t="n">
        <v>0</v>
      </c>
      <c r="V38" s="12" t="n">
        <v>0</v>
      </c>
      <c r="W38" s="12" t="n">
        <v>0</v>
      </c>
      <c r="X38" s="12" t="s">
        <v>407</v>
      </c>
      <c r="Y38" s="12" t="s">
        <v>431</v>
      </c>
      <c r="Z38" s="12" t="n">
        <v>1</v>
      </c>
      <c r="AA38" s="12" t="n">
        <v>0</v>
      </c>
      <c r="AB38" s="12" t="n">
        <v>0</v>
      </c>
      <c r="AC38" s="12" t="n">
        <v>1</v>
      </c>
      <c r="AD38" s="12" t="n">
        <v>0</v>
      </c>
      <c r="AE38" s="12" t="n">
        <v>1</v>
      </c>
      <c r="AF38" s="12" t="n">
        <v>0</v>
      </c>
      <c r="AG38" s="12" t="n">
        <v>0</v>
      </c>
      <c r="AH38" s="12" t="n">
        <v>0</v>
      </c>
      <c r="AI38" s="12" t="n">
        <v>0</v>
      </c>
      <c r="AJ38" s="12" t="n">
        <v>0</v>
      </c>
      <c r="AK38" s="12" t="n">
        <v>0</v>
      </c>
      <c r="AL38" s="12" t="n">
        <v>0</v>
      </c>
      <c r="AM38" s="12" t="n">
        <v>0</v>
      </c>
      <c r="AN38" s="12" t="n">
        <v>0</v>
      </c>
      <c r="AO38" s="12" t="n">
        <v>0</v>
      </c>
      <c r="AP38" s="12" t="n">
        <v>0</v>
      </c>
      <c r="AQ38" s="12" t="n">
        <v>1</v>
      </c>
      <c r="AR38" s="12" t="n">
        <v>0</v>
      </c>
      <c r="AS38" s="12" t="n">
        <v>0</v>
      </c>
      <c r="AT38" s="12" t="s">
        <v>504</v>
      </c>
      <c r="AU38" s="12" t="s">
        <v>356</v>
      </c>
      <c r="AV38" s="12" t="n">
        <v>0</v>
      </c>
      <c r="AW38" s="12" t="n">
        <v>1</v>
      </c>
      <c r="AX38" s="12" t="n">
        <v>1</v>
      </c>
      <c r="AY38" s="12" t="n">
        <v>0</v>
      </c>
      <c r="AZ38" s="12" t="n">
        <v>0</v>
      </c>
      <c r="BA38" s="12" t="n">
        <v>0</v>
      </c>
      <c r="BB38" s="12" t="n">
        <v>5</v>
      </c>
      <c r="BC38" s="12" t="n">
        <v>2</v>
      </c>
      <c r="BD38" s="12" t="n">
        <v>4</v>
      </c>
      <c r="BE38" s="12" t="n">
        <v>4</v>
      </c>
      <c r="BF38" s="12" t="n">
        <v>2</v>
      </c>
      <c r="BG38" s="12" t="n">
        <v>3</v>
      </c>
      <c r="BH38" s="12" t="n">
        <v>3</v>
      </c>
      <c r="BI38" s="12" t="n">
        <v>1</v>
      </c>
      <c r="BJ38" s="12" t="n">
        <v>4</v>
      </c>
      <c r="BK38" s="12" t="n">
        <v>4</v>
      </c>
      <c r="BL38" s="12" t="n">
        <v>4</v>
      </c>
      <c r="BM38" s="12" t="n">
        <v>2</v>
      </c>
      <c r="BN38" s="12" t="n">
        <v>1</v>
      </c>
      <c r="BO38" s="12" t="n">
        <v>3</v>
      </c>
      <c r="BP38" s="12" t="n">
        <v>4</v>
      </c>
      <c r="BQ38" s="12" t="n">
        <v>2</v>
      </c>
      <c r="BR38" s="12" t="n">
        <v>5</v>
      </c>
      <c r="BS38" s="12" t="n">
        <v>6</v>
      </c>
      <c r="BT38" s="12" t="s">
        <v>759</v>
      </c>
      <c r="BU38" s="12" t="s">
        <v>760</v>
      </c>
      <c r="BV38" s="12" t="s">
        <v>761</v>
      </c>
      <c r="BW38" s="16" t="n">
        <f aca="false">IF($R38="","",INDEX(Codes!$E$2:$E$108,MATCH("B1|"&amp;$R38,Codes!$A$2:$A$108,0)))</f>
        <v>2</v>
      </c>
      <c r="BX38" s="16" t="n">
        <f aca="false">IF($Y38="","",INDEX(Codes!$E$2:$E$108,MATCH("B4|"&amp;$Y38,Codes!$A$2:$A$108,0)))</f>
        <v>2</v>
      </c>
      <c r="BY38" s="16" t="n">
        <f aca="false">IF($I38="","",INDEX(Codes!$E$2:$E$108,MATCH("A7|"&amp;$I38,Codes!$A$2:$A$108,0)))</f>
        <v>0</v>
      </c>
      <c r="BZ38" s="16" t="n">
        <f aca="false">IF($AU38="","",INDEX(Codes!$E$2:$E$108,MATCH("B8|"&amp;$AU38,Codes!$A$2:$A$108,0)))</f>
        <v>0</v>
      </c>
      <c r="CA38" s="16" t="n">
        <f aca="false">IF($H38="","",INDEX(Codes!$E$2:$E$108,MATCH("A6|"&amp;$H38,Codes!$A$2:$A$108,0)))</f>
        <v>3</v>
      </c>
      <c r="CB38" s="16" t="n">
        <f aca="false">IF($X38="","",IF($X38="phone",1,0))</f>
        <v>0</v>
      </c>
      <c r="CC38" s="16" t="n">
        <f aca="false">IF($BC38="","",8-$BC38)</f>
        <v>6</v>
      </c>
      <c r="CD38" s="12" t="s">
        <v>631</v>
      </c>
      <c r="CE38" s="12" t="n">
        <v>0.787</v>
      </c>
      <c r="CF38" s="12" t="n">
        <v>-1.881</v>
      </c>
    </row>
    <row r="39" customFormat="false" ht="15" hidden="false" customHeight="false" outlineLevel="0" collapsed="false">
      <c r="A39" s="12" t="s">
        <v>762</v>
      </c>
      <c r="B39" s="12" t="s">
        <v>763</v>
      </c>
      <c r="C39" s="12" t="s">
        <v>271</v>
      </c>
      <c r="D39" s="12" t="s">
        <v>289</v>
      </c>
      <c r="E39" s="12" t="s">
        <v>305</v>
      </c>
      <c r="F39" s="12" t="s">
        <v>315</v>
      </c>
      <c r="G39" s="12" t="s">
        <v>302</v>
      </c>
      <c r="H39" s="12" t="s">
        <v>349</v>
      </c>
      <c r="I39" s="12" t="s">
        <v>359</v>
      </c>
      <c r="J39" s="12" t="n">
        <v>0</v>
      </c>
      <c r="K39" s="12" t="n">
        <v>0</v>
      </c>
      <c r="L39" s="12" t="n">
        <v>1</v>
      </c>
      <c r="M39" s="12" t="n">
        <v>0</v>
      </c>
      <c r="N39" s="12" t="n">
        <v>0</v>
      </c>
      <c r="O39" s="12" t="n">
        <v>0</v>
      </c>
      <c r="P39" s="12" t="n">
        <v>0</v>
      </c>
      <c r="Q39" s="12" t="n">
        <v>5</v>
      </c>
      <c r="R39" s="12" t="s">
        <v>404</v>
      </c>
      <c r="S39" s="12" t="n">
        <v>0</v>
      </c>
      <c r="T39" s="12" t="n">
        <v>0</v>
      </c>
      <c r="U39" s="12" t="n">
        <v>1</v>
      </c>
      <c r="V39" s="12" t="n">
        <v>1</v>
      </c>
      <c r="W39" s="12" t="n">
        <v>0</v>
      </c>
      <c r="X39" s="12" t="s">
        <v>424</v>
      </c>
      <c r="Y39" s="12" t="s">
        <v>428</v>
      </c>
      <c r="Z39" s="12" t="n">
        <v>1</v>
      </c>
      <c r="AA39" s="12" t="n">
        <v>1</v>
      </c>
      <c r="AB39" s="12" t="n">
        <v>1</v>
      </c>
      <c r="AC39" s="12" t="n">
        <v>0</v>
      </c>
      <c r="AD39" s="12" t="n">
        <v>0</v>
      </c>
      <c r="AE39" s="12" t="n">
        <v>1</v>
      </c>
      <c r="AF39" s="12" t="n">
        <v>0</v>
      </c>
      <c r="AG39" s="12" t="n">
        <v>0</v>
      </c>
      <c r="AH39" s="12" t="n">
        <v>1</v>
      </c>
      <c r="AI39" s="12" t="n">
        <v>0</v>
      </c>
      <c r="AJ39" s="12" t="n">
        <v>0</v>
      </c>
      <c r="AK39" s="12" t="n">
        <v>0</v>
      </c>
      <c r="AL39" s="12" t="n">
        <v>1</v>
      </c>
      <c r="AM39" s="12" t="n">
        <v>0</v>
      </c>
      <c r="AN39" s="12" t="n">
        <v>1</v>
      </c>
      <c r="AO39" s="12" t="n">
        <v>0</v>
      </c>
      <c r="AP39" s="12" t="n">
        <v>1</v>
      </c>
      <c r="AQ39" s="12" t="n">
        <v>0</v>
      </c>
      <c r="AR39" s="12" t="n">
        <v>0</v>
      </c>
      <c r="AS39" s="12" t="n">
        <v>0</v>
      </c>
      <c r="AT39" s="12" t="s">
        <v>480</v>
      </c>
      <c r="AU39" s="12" t="s">
        <v>356</v>
      </c>
      <c r="AV39" s="12" t="n">
        <v>0</v>
      </c>
      <c r="AW39" s="12" t="n">
        <v>1</v>
      </c>
      <c r="AX39" s="12" t="n">
        <v>0</v>
      </c>
      <c r="AY39" s="12" t="n">
        <v>1</v>
      </c>
      <c r="AZ39" s="12" t="n">
        <v>1</v>
      </c>
      <c r="BA39" s="12" t="n">
        <v>0</v>
      </c>
      <c r="BB39" s="12" t="n">
        <v>3</v>
      </c>
      <c r="BC39" s="12" t="n">
        <v>4</v>
      </c>
      <c r="BD39" s="12" t="n">
        <v>4</v>
      </c>
      <c r="BE39" s="12" t="n">
        <v>6</v>
      </c>
      <c r="BF39" s="12" t="n">
        <v>3</v>
      </c>
      <c r="BG39" s="12" t="n">
        <v>5</v>
      </c>
      <c r="BH39" s="12" t="n">
        <v>4</v>
      </c>
      <c r="BI39" s="12" t="n">
        <v>6</v>
      </c>
      <c r="BJ39" s="12" t="n">
        <v>5</v>
      </c>
      <c r="BK39" s="12" t="n">
        <v>3</v>
      </c>
      <c r="BL39" s="12" t="n">
        <v>6</v>
      </c>
      <c r="BM39" s="12" t="n">
        <v>3</v>
      </c>
      <c r="BN39" s="12" t="n">
        <v>3</v>
      </c>
      <c r="BO39" s="12" t="n">
        <v>2</v>
      </c>
      <c r="BP39" s="12" t="n">
        <v>1</v>
      </c>
      <c r="BQ39" s="12" t="n">
        <v>4</v>
      </c>
      <c r="BR39" s="12" t="n">
        <v>6</v>
      </c>
      <c r="BS39" s="12" t="n">
        <v>5</v>
      </c>
      <c r="BT39" s="12" t="s">
        <v>764</v>
      </c>
      <c r="BU39" s="12"/>
      <c r="BV39" s="12" t="s">
        <v>765</v>
      </c>
      <c r="BW39" s="16" t="n">
        <f aca="false">IF($R39="","",INDEX(Codes!$E$2:$E$108,MATCH("B1|"&amp;$R39,Codes!$A$2:$A$108,0)))</f>
        <v>6</v>
      </c>
      <c r="BX39" s="16" t="n">
        <f aca="false">IF($Y39="","",INDEX(Codes!$E$2:$E$108,MATCH("B4|"&amp;$Y39,Codes!$A$2:$A$108,0)))</f>
        <v>1</v>
      </c>
      <c r="BY39" s="16" t="n">
        <f aca="false">IF($I39="","",INDEX(Codes!$E$2:$E$108,MATCH("A7|"&amp;$I39,Codes!$A$2:$A$108,0)))</f>
        <v>1</v>
      </c>
      <c r="BZ39" s="16" t="n">
        <f aca="false">IF($AU39="","",INDEX(Codes!$E$2:$E$108,MATCH("B8|"&amp;$AU39,Codes!$A$2:$A$108,0)))</f>
        <v>0</v>
      </c>
      <c r="CA39" s="16" t="n">
        <f aca="false">IF($H39="","",INDEX(Codes!$E$2:$E$108,MATCH("A6|"&amp;$H39,Codes!$A$2:$A$108,0)))</f>
        <v>4</v>
      </c>
      <c r="CB39" s="16" t="n">
        <f aca="false">IF($X39="","",IF($X39="phone",1,0))</f>
        <v>1</v>
      </c>
      <c r="CC39" s="16" t="n">
        <f aca="false">IF($BC39="","",8-$BC39)</f>
        <v>4</v>
      </c>
      <c r="CD39" s="12" t="s">
        <v>643</v>
      </c>
      <c r="CE39" s="12" t="n">
        <v>-3.459</v>
      </c>
      <c r="CF39" s="12" t="n">
        <v>-0.656</v>
      </c>
    </row>
    <row r="40" customFormat="false" ht="15" hidden="false" customHeight="false" outlineLevel="0" collapsed="false">
      <c r="A40" s="12" t="s">
        <v>766</v>
      </c>
      <c r="B40" s="12" t="s">
        <v>767</v>
      </c>
      <c r="C40" s="12" t="s">
        <v>271</v>
      </c>
      <c r="D40" s="12" t="s">
        <v>289</v>
      </c>
      <c r="E40" s="12" t="s">
        <v>308</v>
      </c>
      <c r="F40" s="12" t="s">
        <v>321</v>
      </c>
      <c r="G40" s="12" t="s">
        <v>339</v>
      </c>
      <c r="H40" s="12" t="s">
        <v>353</v>
      </c>
      <c r="I40" s="12" t="s">
        <v>362</v>
      </c>
      <c r="J40" s="12" t="n">
        <v>1</v>
      </c>
      <c r="K40" s="12" t="n">
        <v>0</v>
      </c>
      <c r="L40" s="12" t="n">
        <v>0</v>
      </c>
      <c r="M40" s="12" t="n">
        <v>0</v>
      </c>
      <c r="N40" s="12" t="n">
        <v>0</v>
      </c>
      <c r="O40" s="12" t="n">
        <v>0</v>
      </c>
      <c r="P40" s="12" t="n">
        <v>0</v>
      </c>
      <c r="Q40" s="12" t="n">
        <v>7</v>
      </c>
      <c r="R40" s="12" t="s">
        <v>404</v>
      </c>
      <c r="S40" s="12" t="n">
        <v>0</v>
      </c>
      <c r="T40" s="12" t="n">
        <v>0</v>
      </c>
      <c r="U40" s="12" t="n">
        <v>0</v>
      </c>
      <c r="V40" s="12" t="n">
        <v>1</v>
      </c>
      <c r="W40" s="12" t="n">
        <v>0</v>
      </c>
      <c r="X40" s="12" t="s">
        <v>424</v>
      </c>
      <c r="Y40" s="12" t="s">
        <v>431</v>
      </c>
      <c r="Z40" s="12" t="n">
        <v>1</v>
      </c>
      <c r="AA40" s="12" t="n">
        <v>1</v>
      </c>
      <c r="AB40" s="12" t="n">
        <v>1</v>
      </c>
      <c r="AC40" s="12" t="n">
        <v>1</v>
      </c>
      <c r="AD40" s="12" t="n">
        <v>1</v>
      </c>
      <c r="AE40" s="12" t="n">
        <v>0</v>
      </c>
      <c r="AF40" s="12" t="n">
        <v>0</v>
      </c>
      <c r="AG40" s="12" t="n">
        <v>0</v>
      </c>
      <c r="AH40" s="12" t="n">
        <v>0</v>
      </c>
      <c r="AI40" s="12" t="n">
        <v>0</v>
      </c>
      <c r="AJ40" s="12" t="n">
        <v>1</v>
      </c>
      <c r="AK40" s="12" t="n">
        <v>0</v>
      </c>
      <c r="AL40" s="12" t="n">
        <v>0</v>
      </c>
      <c r="AM40" s="12" t="n">
        <v>0</v>
      </c>
      <c r="AN40" s="12" t="n">
        <v>0</v>
      </c>
      <c r="AO40" s="12" t="n">
        <v>1</v>
      </c>
      <c r="AP40" s="12" t="n">
        <v>1</v>
      </c>
      <c r="AQ40" s="12" t="n">
        <v>0</v>
      </c>
      <c r="AR40" s="12" t="n">
        <v>0</v>
      </c>
      <c r="AS40" s="12" t="n">
        <v>0</v>
      </c>
      <c r="AT40" s="12" t="s">
        <v>504</v>
      </c>
      <c r="AU40" s="12" t="s">
        <v>356</v>
      </c>
      <c r="AV40" s="12" t="n">
        <v>1</v>
      </c>
      <c r="AW40" s="12" t="n">
        <v>1</v>
      </c>
      <c r="AX40" s="12" t="n">
        <v>0</v>
      </c>
      <c r="AY40" s="12" t="n">
        <v>1</v>
      </c>
      <c r="AZ40" s="12" t="n">
        <v>0</v>
      </c>
      <c r="BA40" s="12" t="n">
        <v>0</v>
      </c>
      <c r="BB40" s="12" t="n">
        <v>4</v>
      </c>
      <c r="BC40" s="12" t="n">
        <v>4</v>
      </c>
      <c r="BD40" s="12" t="n">
        <v>5</v>
      </c>
      <c r="BE40" s="12" t="n">
        <v>3</v>
      </c>
      <c r="BF40" s="12" t="n">
        <v>3</v>
      </c>
      <c r="BG40" s="12" t="n">
        <v>3</v>
      </c>
      <c r="BH40" s="12" t="n">
        <v>5</v>
      </c>
      <c r="BI40" s="12" t="n">
        <v>7</v>
      </c>
      <c r="BJ40" s="12" t="n">
        <v>5</v>
      </c>
      <c r="BK40" s="12" t="n">
        <v>4</v>
      </c>
      <c r="BL40" s="12" t="n">
        <v>5</v>
      </c>
      <c r="BM40" s="12" t="n">
        <v>4</v>
      </c>
      <c r="BN40" s="12" t="n">
        <v>2</v>
      </c>
      <c r="BO40" s="12" t="n">
        <v>3</v>
      </c>
      <c r="BP40" s="12" t="n">
        <v>1</v>
      </c>
      <c r="BQ40" s="12" t="n">
        <v>4</v>
      </c>
      <c r="BR40" s="12" t="n">
        <v>6</v>
      </c>
      <c r="BS40" s="12" t="n">
        <v>5</v>
      </c>
      <c r="BT40" s="12" t="s">
        <v>768</v>
      </c>
      <c r="BU40" s="12" t="s">
        <v>642</v>
      </c>
      <c r="BV40" s="12"/>
      <c r="BW40" s="16" t="n">
        <f aca="false">IF($R40="","",INDEX(Codes!$E$2:$E$108,MATCH("B1|"&amp;$R40,Codes!$A$2:$A$108,0)))</f>
        <v>6</v>
      </c>
      <c r="BX40" s="16" t="n">
        <f aca="false">IF($Y40="","",INDEX(Codes!$E$2:$E$108,MATCH("B4|"&amp;$Y40,Codes!$A$2:$A$108,0)))</f>
        <v>2</v>
      </c>
      <c r="BY40" s="16" t="n">
        <f aca="false">IF($I40="","",INDEX(Codes!$E$2:$E$108,MATCH("A7|"&amp;$I40,Codes!$A$2:$A$108,0)))</f>
        <v>2</v>
      </c>
      <c r="BZ40" s="16" t="n">
        <f aca="false">IF($AU40="","",INDEX(Codes!$E$2:$E$108,MATCH("B8|"&amp;$AU40,Codes!$A$2:$A$108,0)))</f>
        <v>0</v>
      </c>
      <c r="CA40" s="16" t="n">
        <f aca="false">IF($H40="","",INDEX(Codes!$E$2:$E$108,MATCH("A6|"&amp;$H40,Codes!$A$2:$A$108,0)))</f>
        <v>6</v>
      </c>
      <c r="CB40" s="16" t="n">
        <f aca="false">IF($X40="","",IF($X40="phone",1,0))</f>
        <v>1</v>
      </c>
      <c r="CC40" s="16" t="n">
        <f aca="false">IF($BC40="","",8-$BC40)</f>
        <v>4</v>
      </c>
      <c r="CD40" s="12" t="s">
        <v>643</v>
      </c>
      <c r="CE40" s="12" t="n">
        <v>-3.105</v>
      </c>
      <c r="CF40" s="12" t="n">
        <v>1.777</v>
      </c>
    </row>
    <row r="41" customFormat="false" ht="15" hidden="false" customHeight="false" outlineLevel="0" collapsed="false">
      <c r="A41" s="12" t="s">
        <v>769</v>
      </c>
      <c r="B41" s="12" t="s">
        <v>770</v>
      </c>
      <c r="C41" s="12" t="s">
        <v>271</v>
      </c>
      <c r="D41" s="12" t="s">
        <v>291</v>
      </c>
      <c r="E41" s="12" t="s">
        <v>302</v>
      </c>
      <c r="F41" s="12" t="s">
        <v>315</v>
      </c>
      <c r="G41" s="12" t="s">
        <v>333</v>
      </c>
      <c r="H41" s="12" t="s">
        <v>351</v>
      </c>
      <c r="I41" s="12" t="s">
        <v>356</v>
      </c>
      <c r="J41" s="12" t="n">
        <v>0</v>
      </c>
      <c r="K41" s="12" t="n">
        <v>0</v>
      </c>
      <c r="L41" s="12" t="n">
        <v>1</v>
      </c>
      <c r="M41" s="12" t="n">
        <v>1</v>
      </c>
      <c r="N41" s="12" t="n">
        <v>0</v>
      </c>
      <c r="O41" s="12" t="n">
        <v>0</v>
      </c>
      <c r="P41" s="12" t="n">
        <v>0</v>
      </c>
      <c r="Q41" s="12" t="n">
        <v>6</v>
      </c>
      <c r="R41" s="12" t="s">
        <v>401</v>
      </c>
      <c r="S41" s="12" t="n">
        <v>1</v>
      </c>
      <c r="T41" s="12" t="n">
        <v>0</v>
      </c>
      <c r="U41" s="12" t="n">
        <v>1</v>
      </c>
      <c r="V41" s="12" t="n">
        <v>0</v>
      </c>
      <c r="W41" s="12" t="n">
        <v>0</v>
      </c>
      <c r="X41" s="12" t="s">
        <v>407</v>
      </c>
      <c r="Y41" s="12" t="s">
        <v>434</v>
      </c>
      <c r="Z41" s="12" t="n">
        <v>1</v>
      </c>
      <c r="AA41" s="12" t="n">
        <v>1</v>
      </c>
      <c r="AB41" s="12" t="n">
        <v>0</v>
      </c>
      <c r="AC41" s="12" t="n">
        <v>1</v>
      </c>
      <c r="AD41" s="12" t="n">
        <v>0</v>
      </c>
      <c r="AE41" s="12" t="n">
        <v>0</v>
      </c>
      <c r="AF41" s="12" t="n">
        <v>0</v>
      </c>
      <c r="AG41" s="12" t="n">
        <v>0</v>
      </c>
      <c r="AH41" s="12" t="n">
        <v>1</v>
      </c>
      <c r="AI41" s="12" t="n">
        <v>0</v>
      </c>
      <c r="AJ41" s="12" t="n">
        <v>0</v>
      </c>
      <c r="AK41" s="12" t="n">
        <v>0</v>
      </c>
      <c r="AL41" s="12" t="n">
        <v>0</v>
      </c>
      <c r="AM41" s="12" t="n">
        <v>1</v>
      </c>
      <c r="AN41" s="12" t="n">
        <v>0</v>
      </c>
      <c r="AO41" s="12" t="n">
        <v>0</v>
      </c>
      <c r="AP41" s="12" t="n">
        <v>0</v>
      </c>
      <c r="AQ41" s="12" t="n">
        <v>0</v>
      </c>
      <c r="AR41" s="12" t="n">
        <v>0</v>
      </c>
      <c r="AS41" s="12" t="n">
        <v>1</v>
      </c>
      <c r="AT41" s="12" t="s">
        <v>480</v>
      </c>
      <c r="AU41" s="12" t="s">
        <v>356</v>
      </c>
      <c r="AV41" s="12" t="n">
        <v>0</v>
      </c>
      <c r="AW41" s="12" t="n">
        <v>1</v>
      </c>
      <c r="AX41" s="12" t="n">
        <v>0</v>
      </c>
      <c r="AY41" s="12" t="n">
        <v>0</v>
      </c>
      <c r="AZ41" s="12" t="n">
        <v>0</v>
      </c>
      <c r="BA41" s="12" t="n">
        <v>0</v>
      </c>
      <c r="BB41" s="12" t="n">
        <v>1</v>
      </c>
      <c r="BC41" s="12" t="n">
        <v>7</v>
      </c>
      <c r="BD41" s="12" t="n">
        <v>4</v>
      </c>
      <c r="BE41" s="12" t="n">
        <v>5</v>
      </c>
      <c r="BF41" s="12" t="n">
        <v>3</v>
      </c>
      <c r="BG41" s="12" t="n">
        <v>2</v>
      </c>
      <c r="BH41" s="12" t="n">
        <v>4</v>
      </c>
      <c r="BI41" s="12" t="n">
        <v>5</v>
      </c>
      <c r="BJ41" s="12" t="n">
        <v>1</v>
      </c>
      <c r="BK41" s="12" t="n">
        <v>2</v>
      </c>
      <c r="BL41" s="12" t="n">
        <v>2</v>
      </c>
      <c r="BM41" s="12" t="n">
        <v>2</v>
      </c>
      <c r="BN41" s="12" t="n">
        <v>1</v>
      </c>
      <c r="BO41" s="12" t="n">
        <v>3</v>
      </c>
      <c r="BP41" s="12" t="n">
        <v>4</v>
      </c>
      <c r="BQ41" s="12" t="n">
        <v>5</v>
      </c>
      <c r="BR41" s="12" t="n">
        <v>2</v>
      </c>
      <c r="BS41" s="12" t="n">
        <v>6</v>
      </c>
      <c r="BT41" s="12" t="s">
        <v>771</v>
      </c>
      <c r="BU41" s="12" t="s">
        <v>772</v>
      </c>
      <c r="BV41" s="12" t="s">
        <v>773</v>
      </c>
      <c r="BW41" s="16" t="n">
        <f aca="false">IF($R41="","",INDEX(Codes!$E$2:$E$108,MATCH("B1|"&amp;$R41,Codes!$A$2:$A$108,0)))</f>
        <v>5</v>
      </c>
      <c r="BX41" s="16" t="n">
        <f aca="false">IF($Y41="","",INDEX(Codes!$E$2:$E$108,MATCH("B4|"&amp;$Y41,Codes!$A$2:$A$108,0)))</f>
        <v>3</v>
      </c>
      <c r="BY41" s="16" t="n">
        <f aca="false">IF($I41="","",INDEX(Codes!$E$2:$E$108,MATCH("A7|"&amp;$I41,Codes!$A$2:$A$108,0)))</f>
        <v>0</v>
      </c>
      <c r="BZ41" s="16" t="n">
        <f aca="false">IF($AU41="","",INDEX(Codes!$E$2:$E$108,MATCH("B8|"&amp;$AU41,Codes!$A$2:$A$108,0)))</f>
        <v>0</v>
      </c>
      <c r="CA41" s="16" t="n">
        <f aca="false">IF($H41="","",INDEX(Codes!$E$2:$E$108,MATCH("A6|"&amp;$H41,Codes!$A$2:$A$108,0)))</f>
        <v>5</v>
      </c>
      <c r="CB41" s="16" t="n">
        <f aca="false">IF($X41="","",IF($X41="phone",1,0))</f>
        <v>0</v>
      </c>
      <c r="CC41" s="16" t="n">
        <f aca="false">IF($BC41="","",8-$BC41)</f>
        <v>1</v>
      </c>
      <c r="CD41" s="12" t="s">
        <v>671</v>
      </c>
      <c r="CE41" s="12" t="n">
        <v>3.132</v>
      </c>
      <c r="CF41" s="12" t="n">
        <v>0.811</v>
      </c>
    </row>
    <row r="42" customFormat="false" ht="15" hidden="false" customHeight="false" outlineLevel="0" collapsed="false">
      <c r="A42" s="12" t="s">
        <v>774</v>
      </c>
      <c r="B42" s="12" t="s">
        <v>775</v>
      </c>
      <c r="C42" s="12" t="s">
        <v>280</v>
      </c>
      <c r="D42" s="12" t="s">
        <v>293</v>
      </c>
      <c r="E42" s="12" t="s">
        <v>308</v>
      </c>
      <c r="F42" s="12" t="s">
        <v>315</v>
      </c>
      <c r="G42" s="12" t="s">
        <v>336</v>
      </c>
      <c r="H42" s="12" t="s">
        <v>343</v>
      </c>
      <c r="I42" s="12" t="s">
        <v>362</v>
      </c>
      <c r="J42" s="12" t="n">
        <v>1</v>
      </c>
      <c r="K42" s="12" t="n">
        <v>0</v>
      </c>
      <c r="L42" s="12" t="n">
        <v>0</v>
      </c>
      <c r="M42" s="12" t="n">
        <v>0</v>
      </c>
      <c r="N42" s="12" t="n">
        <v>0</v>
      </c>
      <c r="O42" s="12" t="n">
        <v>0</v>
      </c>
      <c r="P42" s="12" t="n">
        <v>0</v>
      </c>
      <c r="Q42" s="12" t="n">
        <v>5</v>
      </c>
      <c r="R42" s="12" t="s">
        <v>404</v>
      </c>
      <c r="S42" s="12" t="n">
        <v>1</v>
      </c>
      <c r="T42" s="12" t="n">
        <v>0</v>
      </c>
      <c r="U42" s="12" t="n">
        <v>0</v>
      </c>
      <c r="V42" s="12" t="n">
        <v>0</v>
      </c>
      <c r="W42" s="12" t="n">
        <v>0</v>
      </c>
      <c r="X42" s="12" t="s">
        <v>410</v>
      </c>
      <c r="Y42" s="12" t="s">
        <v>437</v>
      </c>
      <c r="Z42" s="12" t="n">
        <v>1</v>
      </c>
      <c r="AA42" s="12" t="n">
        <v>1</v>
      </c>
      <c r="AB42" s="12" t="n">
        <v>1</v>
      </c>
      <c r="AC42" s="12" t="n">
        <v>1</v>
      </c>
      <c r="AD42" s="12" t="n">
        <v>0</v>
      </c>
      <c r="AE42" s="12" t="n">
        <v>1</v>
      </c>
      <c r="AF42" s="12" t="n">
        <v>0</v>
      </c>
      <c r="AG42" s="12" t="n">
        <v>0</v>
      </c>
      <c r="AH42" s="12" t="n">
        <v>0</v>
      </c>
      <c r="AI42" s="12" t="n">
        <v>1</v>
      </c>
      <c r="AJ42" s="12" t="n">
        <v>0</v>
      </c>
      <c r="AK42" s="12" t="n">
        <v>0</v>
      </c>
      <c r="AL42" s="12" t="n">
        <v>1</v>
      </c>
      <c r="AM42" s="12" t="n">
        <v>0</v>
      </c>
      <c r="AN42" s="12" t="n">
        <v>0</v>
      </c>
      <c r="AO42" s="12" t="n">
        <v>0</v>
      </c>
      <c r="AP42" s="12" t="n">
        <v>0</v>
      </c>
      <c r="AQ42" s="12" t="n">
        <v>0</v>
      </c>
      <c r="AR42" s="12" t="n">
        <v>0</v>
      </c>
      <c r="AS42" s="12" t="n">
        <v>0</v>
      </c>
      <c r="AT42" s="12" t="s">
        <v>480</v>
      </c>
      <c r="AU42" s="12" t="s">
        <v>395</v>
      </c>
      <c r="AV42" s="12" t="n">
        <v>1</v>
      </c>
      <c r="AW42" s="12" t="n">
        <v>1</v>
      </c>
      <c r="AX42" s="12" t="n">
        <v>0</v>
      </c>
      <c r="AY42" s="12" t="n">
        <v>1</v>
      </c>
      <c r="AZ42" s="12" t="n">
        <v>1</v>
      </c>
      <c r="BA42" s="12" t="n">
        <v>0</v>
      </c>
      <c r="BB42" s="12" t="n">
        <v>6</v>
      </c>
      <c r="BC42" s="12" t="n">
        <v>2</v>
      </c>
      <c r="BD42" s="12" t="n">
        <v>3</v>
      </c>
      <c r="BE42" s="12" t="n">
        <v>6</v>
      </c>
      <c r="BF42" s="12" t="n">
        <v>3</v>
      </c>
      <c r="BG42" s="12" t="n">
        <v>5</v>
      </c>
      <c r="BH42" s="12" t="n">
        <v>7</v>
      </c>
      <c r="BI42" s="12" t="n">
        <v>6</v>
      </c>
      <c r="BJ42" s="12" t="n">
        <v>5</v>
      </c>
      <c r="BK42" s="12" t="n">
        <v>3</v>
      </c>
      <c r="BL42" s="12" t="n">
        <v>5</v>
      </c>
      <c r="BM42" s="12" t="n">
        <v>4</v>
      </c>
      <c r="BN42" s="12" t="n">
        <v>2</v>
      </c>
      <c r="BO42" s="12" t="n">
        <v>3</v>
      </c>
      <c r="BP42" s="12" t="n">
        <v>1</v>
      </c>
      <c r="BQ42" s="12" t="n">
        <v>4</v>
      </c>
      <c r="BR42" s="12" t="n">
        <v>6</v>
      </c>
      <c r="BS42" s="12" t="n">
        <v>5</v>
      </c>
      <c r="BT42" s="12" t="s">
        <v>776</v>
      </c>
      <c r="BU42" s="12" t="s">
        <v>777</v>
      </c>
      <c r="BV42" s="12"/>
      <c r="BW42" s="16" t="n">
        <f aca="false">IF($R42="","",INDEX(Codes!$E$2:$E$108,MATCH("B1|"&amp;$R42,Codes!$A$2:$A$108,0)))</f>
        <v>6</v>
      </c>
      <c r="BX42" s="16" t="n">
        <f aca="false">IF($Y42="","",INDEX(Codes!$E$2:$E$108,MATCH("B4|"&amp;$Y42,Codes!$A$2:$A$108,0)))</f>
        <v>4</v>
      </c>
      <c r="BY42" s="16" t="n">
        <f aca="false">IF($I42="","",INDEX(Codes!$E$2:$E$108,MATCH("A7|"&amp;$I42,Codes!$A$2:$A$108,0)))</f>
        <v>2</v>
      </c>
      <c r="BZ42" s="16" t="n">
        <f aca="false">IF($AU42="","",INDEX(Codes!$E$2:$E$108,MATCH("B8|"&amp;$AU42,Codes!$A$2:$A$108,0)))</f>
        <v>2</v>
      </c>
      <c r="CA42" s="16" t="n">
        <f aca="false">IF($H42="","",INDEX(Codes!$E$2:$E$108,MATCH("A6|"&amp;$H42,Codes!$A$2:$A$108,0)))</f>
        <v>1</v>
      </c>
      <c r="CB42" s="16" t="n">
        <f aca="false">IF($X42="","",IF($X42="phone",1,0))</f>
        <v>0</v>
      </c>
      <c r="CC42" s="16" t="n">
        <f aca="false">IF($BC42="","",8-$BC42)</f>
        <v>6</v>
      </c>
      <c r="CD42" s="12" t="s">
        <v>614</v>
      </c>
      <c r="CE42" s="12" t="n">
        <v>-2.213</v>
      </c>
      <c r="CF42" s="12" t="n">
        <v>1.424</v>
      </c>
    </row>
    <row r="43" customFormat="false" ht="15" hidden="false" customHeight="false" outlineLevel="0" collapsed="false">
      <c r="A43" s="12" t="s">
        <v>778</v>
      </c>
      <c r="B43" s="12" t="s">
        <v>779</v>
      </c>
      <c r="C43" s="12" t="s">
        <v>274</v>
      </c>
      <c r="D43" s="12" t="s">
        <v>291</v>
      </c>
      <c r="E43" s="12" t="s">
        <v>305</v>
      </c>
      <c r="F43" s="12" t="s">
        <v>330</v>
      </c>
      <c r="G43" s="12" t="s">
        <v>336</v>
      </c>
      <c r="H43" s="12" t="s">
        <v>347</v>
      </c>
      <c r="I43" s="12" t="s">
        <v>356</v>
      </c>
      <c r="J43" s="12" t="n">
        <v>1</v>
      </c>
      <c r="K43" s="12" t="n">
        <v>0</v>
      </c>
      <c r="L43" s="12" t="n">
        <v>0</v>
      </c>
      <c r="M43" s="12" t="n">
        <v>0</v>
      </c>
      <c r="N43" s="12" t="n">
        <v>0</v>
      </c>
      <c r="O43" s="12" t="n">
        <v>0</v>
      </c>
      <c r="P43" s="12" t="n">
        <v>0</v>
      </c>
      <c r="Q43" s="12" t="n">
        <v>7</v>
      </c>
      <c r="R43" s="12" t="s">
        <v>401</v>
      </c>
      <c r="S43" s="12" t="n">
        <v>1</v>
      </c>
      <c r="T43" s="12" t="n">
        <v>0</v>
      </c>
      <c r="U43" s="12" t="n">
        <v>0</v>
      </c>
      <c r="V43" s="12" t="n">
        <v>0</v>
      </c>
      <c r="W43" s="12" t="n">
        <v>0</v>
      </c>
      <c r="X43" s="12" t="s">
        <v>407</v>
      </c>
      <c r="Y43" s="12" t="s">
        <v>434</v>
      </c>
      <c r="Z43" s="12" t="n">
        <v>1</v>
      </c>
      <c r="AA43" s="12" t="n">
        <v>1</v>
      </c>
      <c r="AB43" s="12" t="n">
        <v>1</v>
      </c>
      <c r="AC43" s="12" t="n">
        <v>1</v>
      </c>
      <c r="AD43" s="12" t="n">
        <v>0</v>
      </c>
      <c r="AE43" s="12" t="n">
        <v>0</v>
      </c>
      <c r="AF43" s="12" t="n">
        <v>0</v>
      </c>
      <c r="AG43" s="12" t="n">
        <v>0</v>
      </c>
      <c r="AH43" s="12" t="n">
        <v>0</v>
      </c>
      <c r="AI43" s="12" t="n">
        <v>0</v>
      </c>
      <c r="AJ43" s="12" t="n">
        <v>0</v>
      </c>
      <c r="AK43" s="12" t="n">
        <v>0</v>
      </c>
      <c r="AL43" s="12" t="n">
        <v>0</v>
      </c>
      <c r="AM43" s="12" t="n">
        <v>0</v>
      </c>
      <c r="AN43" s="12" t="n">
        <v>0</v>
      </c>
      <c r="AO43" s="12" t="n">
        <v>0</v>
      </c>
      <c r="AP43" s="12" t="n">
        <v>0</v>
      </c>
      <c r="AQ43" s="12" t="n">
        <v>0</v>
      </c>
      <c r="AR43" s="12" t="n">
        <v>1</v>
      </c>
      <c r="AS43" s="12" t="n">
        <v>0</v>
      </c>
      <c r="AT43" s="12" t="s">
        <v>480</v>
      </c>
      <c r="AU43" s="12" t="s">
        <v>356</v>
      </c>
      <c r="AV43" s="12" t="n">
        <v>0</v>
      </c>
      <c r="AW43" s="12" t="n">
        <v>1</v>
      </c>
      <c r="AX43" s="12" t="n">
        <v>1</v>
      </c>
      <c r="AY43" s="12" t="n">
        <v>1</v>
      </c>
      <c r="AZ43" s="12" t="n">
        <v>0</v>
      </c>
      <c r="BA43" s="12" t="n">
        <v>0</v>
      </c>
      <c r="BB43" s="12" t="n">
        <v>3</v>
      </c>
      <c r="BC43" s="12" t="n">
        <v>6</v>
      </c>
      <c r="BD43" s="12" t="n">
        <v>3</v>
      </c>
      <c r="BE43" s="12" t="n">
        <v>2</v>
      </c>
      <c r="BF43" s="12" t="n">
        <v>4</v>
      </c>
      <c r="BG43" s="12" t="n">
        <v>3</v>
      </c>
      <c r="BH43" s="12" t="n">
        <v>4</v>
      </c>
      <c r="BI43" s="12" t="n">
        <v>6</v>
      </c>
      <c r="BJ43" s="12" t="n">
        <v>5</v>
      </c>
      <c r="BK43" s="12" t="n">
        <v>5</v>
      </c>
      <c r="BL43" s="12" t="n">
        <v>4</v>
      </c>
      <c r="BM43" s="12" t="n">
        <v>4</v>
      </c>
      <c r="BN43" s="12" t="n">
        <v>1</v>
      </c>
      <c r="BO43" s="12" t="n">
        <v>3</v>
      </c>
      <c r="BP43" s="12" t="n">
        <v>4</v>
      </c>
      <c r="BQ43" s="12" t="n">
        <v>5</v>
      </c>
      <c r="BR43" s="12" t="n">
        <v>2</v>
      </c>
      <c r="BS43" s="12" t="n">
        <v>6</v>
      </c>
      <c r="BT43" s="12" t="s">
        <v>780</v>
      </c>
      <c r="BU43" s="12" t="s">
        <v>781</v>
      </c>
      <c r="BV43" s="12"/>
      <c r="BW43" s="16" t="n">
        <f aca="false">IF($R43="","",INDEX(Codes!$E$2:$E$108,MATCH("B1|"&amp;$R43,Codes!$A$2:$A$108,0)))</f>
        <v>5</v>
      </c>
      <c r="BX43" s="16" t="n">
        <f aca="false">IF($Y43="","",INDEX(Codes!$E$2:$E$108,MATCH("B4|"&amp;$Y43,Codes!$A$2:$A$108,0)))</f>
        <v>3</v>
      </c>
      <c r="BY43" s="16" t="n">
        <f aca="false">IF($I43="","",INDEX(Codes!$E$2:$E$108,MATCH("A7|"&amp;$I43,Codes!$A$2:$A$108,0)))</f>
        <v>0</v>
      </c>
      <c r="BZ43" s="16" t="n">
        <f aca="false">IF($AU43="","",INDEX(Codes!$E$2:$E$108,MATCH("B8|"&amp;$AU43,Codes!$A$2:$A$108,0)))</f>
        <v>0</v>
      </c>
      <c r="CA43" s="16" t="n">
        <f aca="false">IF($H43="","",INDEX(Codes!$E$2:$E$108,MATCH("A6|"&amp;$H43,Codes!$A$2:$A$108,0)))</f>
        <v>3</v>
      </c>
      <c r="CB43" s="16" t="n">
        <f aca="false">IF($X43="","",IF($X43="phone",1,0))</f>
        <v>0</v>
      </c>
      <c r="CC43" s="16" t="n">
        <f aca="false">IF($BC43="","",8-$BC43)</f>
        <v>2</v>
      </c>
      <c r="CD43" s="12" t="s">
        <v>620</v>
      </c>
      <c r="CE43" s="12" t="n">
        <v>1.034</v>
      </c>
      <c r="CF43" s="12" t="n">
        <v>2.557</v>
      </c>
    </row>
    <row r="44" customFormat="false" ht="15" hidden="false" customHeight="false" outlineLevel="0" collapsed="false">
      <c r="A44" s="12" t="s">
        <v>782</v>
      </c>
      <c r="B44" s="12" t="s">
        <v>783</v>
      </c>
      <c r="C44" s="12" t="s">
        <v>274</v>
      </c>
      <c r="D44" s="12" t="s">
        <v>291</v>
      </c>
      <c r="E44" s="12" t="s">
        <v>305</v>
      </c>
      <c r="F44" s="12" t="s">
        <v>315</v>
      </c>
      <c r="G44" s="12" t="s">
        <v>336</v>
      </c>
      <c r="H44" s="12" t="s">
        <v>347</v>
      </c>
      <c r="I44" s="12" t="s">
        <v>362</v>
      </c>
      <c r="J44" s="12" t="n">
        <v>1</v>
      </c>
      <c r="K44" s="12" t="n">
        <v>0</v>
      </c>
      <c r="L44" s="12" t="n">
        <v>0</v>
      </c>
      <c r="M44" s="12" t="n">
        <v>0</v>
      </c>
      <c r="N44" s="12" t="n">
        <v>0</v>
      </c>
      <c r="O44" s="12" t="n">
        <v>0</v>
      </c>
      <c r="P44" s="12" t="n">
        <v>0</v>
      </c>
      <c r="Q44" s="12" t="n">
        <v>5</v>
      </c>
      <c r="R44" s="12" t="s">
        <v>404</v>
      </c>
      <c r="S44" s="12" t="n">
        <v>1</v>
      </c>
      <c r="T44" s="12" t="n">
        <v>0</v>
      </c>
      <c r="U44" s="12" t="n">
        <v>0</v>
      </c>
      <c r="V44" s="12" t="n">
        <v>1</v>
      </c>
      <c r="W44" s="12" t="n">
        <v>0</v>
      </c>
      <c r="X44" s="12" t="s">
        <v>419</v>
      </c>
      <c r="Y44" s="12" t="s">
        <v>428</v>
      </c>
      <c r="Z44" s="12" t="n">
        <v>1</v>
      </c>
      <c r="AA44" s="12" t="n">
        <v>0</v>
      </c>
      <c r="AB44" s="12" t="n">
        <v>1</v>
      </c>
      <c r="AC44" s="12" t="n">
        <v>1</v>
      </c>
      <c r="AD44" s="12" t="n">
        <v>1</v>
      </c>
      <c r="AE44" s="12" t="n">
        <v>0</v>
      </c>
      <c r="AF44" s="12" t="n">
        <v>0</v>
      </c>
      <c r="AG44" s="12" t="n">
        <v>1</v>
      </c>
      <c r="AH44" s="12" t="n">
        <v>0</v>
      </c>
      <c r="AI44" s="12" t="n">
        <v>0</v>
      </c>
      <c r="AJ44" s="12" t="n">
        <v>0</v>
      </c>
      <c r="AK44" s="12" t="n">
        <v>0</v>
      </c>
      <c r="AL44" s="12" t="n">
        <v>1</v>
      </c>
      <c r="AM44" s="12" t="n">
        <v>0</v>
      </c>
      <c r="AN44" s="12" t="n">
        <v>1</v>
      </c>
      <c r="AO44" s="12" t="n">
        <v>0</v>
      </c>
      <c r="AP44" s="12" t="n">
        <v>1</v>
      </c>
      <c r="AQ44" s="12" t="n">
        <v>0</v>
      </c>
      <c r="AR44" s="12" t="n">
        <v>0</v>
      </c>
      <c r="AS44" s="12" t="n">
        <v>0</v>
      </c>
      <c r="AT44" s="12" t="s">
        <v>507</v>
      </c>
      <c r="AU44" s="12" t="s">
        <v>343</v>
      </c>
      <c r="AV44" s="12" t="n">
        <v>0</v>
      </c>
      <c r="AW44" s="12" t="n">
        <v>1</v>
      </c>
      <c r="AX44" s="12" t="n">
        <v>1</v>
      </c>
      <c r="AY44" s="12" t="n">
        <v>1</v>
      </c>
      <c r="AZ44" s="12" t="n">
        <v>0</v>
      </c>
      <c r="BA44" s="12" t="n">
        <v>0</v>
      </c>
      <c r="BB44" s="12" t="n">
        <v>3</v>
      </c>
      <c r="BC44" s="12" t="n">
        <v>5</v>
      </c>
      <c r="BD44" s="12" t="n">
        <v>4</v>
      </c>
      <c r="BE44" s="12" t="n">
        <v>6</v>
      </c>
      <c r="BF44" s="12" t="n">
        <v>3</v>
      </c>
      <c r="BG44" s="12" t="n">
        <v>3</v>
      </c>
      <c r="BH44" s="12" t="n">
        <v>3</v>
      </c>
      <c r="BI44" s="12" t="n">
        <v>7</v>
      </c>
      <c r="BJ44" s="12" t="n">
        <v>5</v>
      </c>
      <c r="BK44" s="12" t="n">
        <v>4</v>
      </c>
      <c r="BL44" s="12" t="n">
        <v>5</v>
      </c>
      <c r="BM44" s="12" t="n">
        <v>3</v>
      </c>
      <c r="BN44" s="12" t="n">
        <v>3</v>
      </c>
      <c r="BO44" s="12" t="n">
        <v>1</v>
      </c>
      <c r="BP44" s="12" t="n">
        <v>2</v>
      </c>
      <c r="BQ44" s="12" t="n">
        <v>5</v>
      </c>
      <c r="BR44" s="12" t="n">
        <v>4</v>
      </c>
      <c r="BS44" s="12" t="n">
        <v>6</v>
      </c>
      <c r="BT44" s="12" t="s">
        <v>784</v>
      </c>
      <c r="BU44" s="12" t="s">
        <v>618</v>
      </c>
      <c r="BV44" s="12" t="s">
        <v>785</v>
      </c>
      <c r="BW44" s="16" t="n">
        <f aca="false">IF($R44="","",INDEX(Codes!$E$2:$E$108,MATCH("B1|"&amp;$R44,Codes!$A$2:$A$108,0)))</f>
        <v>6</v>
      </c>
      <c r="BX44" s="16" t="n">
        <f aca="false">IF($Y44="","",INDEX(Codes!$E$2:$E$108,MATCH("B4|"&amp;$Y44,Codes!$A$2:$A$108,0)))</f>
        <v>1</v>
      </c>
      <c r="BY44" s="16" t="n">
        <f aca="false">IF($I44="","",INDEX(Codes!$E$2:$E$108,MATCH("A7|"&amp;$I44,Codes!$A$2:$A$108,0)))</f>
        <v>2</v>
      </c>
      <c r="BZ44" s="16" t="n">
        <f aca="false">IF($AU44="","",INDEX(Codes!$E$2:$E$108,MATCH("B8|"&amp;$AU44,Codes!$A$2:$A$108,0)))</f>
        <v>1</v>
      </c>
      <c r="CA44" s="16" t="n">
        <f aca="false">IF($H44="","",INDEX(Codes!$E$2:$E$108,MATCH("A6|"&amp;$H44,Codes!$A$2:$A$108,0)))</f>
        <v>3</v>
      </c>
      <c r="CB44" s="16" t="n">
        <f aca="false">IF($X44="","",IF($X44="phone",1,0))</f>
        <v>0</v>
      </c>
      <c r="CC44" s="16" t="n">
        <f aca="false">IF($BC44="","",8-$BC44)</f>
        <v>3</v>
      </c>
      <c r="CD44" s="12" t="s">
        <v>643</v>
      </c>
      <c r="CE44" s="12" t="n">
        <v>-1.768</v>
      </c>
      <c r="CF44" s="12" t="n">
        <v>-0.692</v>
      </c>
    </row>
    <row r="45" customFormat="false" ht="15" hidden="false" customHeight="false" outlineLevel="0" collapsed="false">
      <c r="A45" s="12" t="s">
        <v>786</v>
      </c>
      <c r="B45" s="12" t="s">
        <v>787</v>
      </c>
      <c r="C45" s="12" t="s">
        <v>271</v>
      </c>
      <c r="D45" s="12" t="s">
        <v>289</v>
      </c>
      <c r="E45" s="12" t="s">
        <v>305</v>
      </c>
      <c r="F45" s="12" t="s">
        <v>315</v>
      </c>
      <c r="G45" s="12" t="s">
        <v>333</v>
      </c>
      <c r="H45" s="12" t="s">
        <v>349</v>
      </c>
      <c r="I45" s="12" t="s">
        <v>356</v>
      </c>
      <c r="J45" s="12" t="n">
        <v>1</v>
      </c>
      <c r="K45" s="12" t="n">
        <v>0</v>
      </c>
      <c r="L45" s="12" t="n">
        <v>0</v>
      </c>
      <c r="M45" s="12" t="n">
        <v>0</v>
      </c>
      <c r="N45" s="12" t="n">
        <v>0</v>
      </c>
      <c r="O45" s="12" t="n">
        <v>0</v>
      </c>
      <c r="P45" s="12" t="n">
        <v>0</v>
      </c>
      <c r="Q45" s="12" t="n">
        <v>4</v>
      </c>
      <c r="R45" s="12" t="s">
        <v>398</v>
      </c>
      <c r="S45" s="12" t="n">
        <v>1</v>
      </c>
      <c r="T45" s="12" t="n">
        <v>0</v>
      </c>
      <c r="U45" s="12" t="n">
        <v>1</v>
      </c>
      <c r="V45" s="12" t="n">
        <v>1</v>
      </c>
      <c r="W45" s="12" t="n">
        <v>0</v>
      </c>
      <c r="X45" s="12" t="s">
        <v>424</v>
      </c>
      <c r="Y45" s="12" t="s">
        <v>428</v>
      </c>
      <c r="Z45" s="12" t="n">
        <v>1</v>
      </c>
      <c r="AA45" s="12" t="n">
        <v>0</v>
      </c>
      <c r="AB45" s="12" t="n">
        <v>1</v>
      </c>
      <c r="AC45" s="12" t="n">
        <v>1</v>
      </c>
      <c r="AD45" s="12" t="n">
        <v>0</v>
      </c>
      <c r="AE45" s="12" t="n">
        <v>0</v>
      </c>
      <c r="AF45" s="12" t="n">
        <v>1</v>
      </c>
      <c r="AG45" s="12" t="n">
        <v>1</v>
      </c>
      <c r="AH45" s="12" t="n">
        <v>0</v>
      </c>
      <c r="AI45" s="12" t="n">
        <v>0</v>
      </c>
      <c r="AJ45" s="12" t="n">
        <v>0</v>
      </c>
      <c r="AK45" s="12" t="n">
        <v>0</v>
      </c>
      <c r="AL45" s="12" t="n">
        <v>1</v>
      </c>
      <c r="AM45" s="12" t="n">
        <v>0</v>
      </c>
      <c r="AN45" s="12" t="n">
        <v>1</v>
      </c>
      <c r="AO45" s="12" t="n">
        <v>1</v>
      </c>
      <c r="AP45" s="12" t="n">
        <v>0</v>
      </c>
      <c r="AQ45" s="12" t="n">
        <v>0</v>
      </c>
      <c r="AR45" s="12" t="n">
        <v>1</v>
      </c>
      <c r="AS45" s="12" t="n">
        <v>0</v>
      </c>
      <c r="AT45" s="12" t="s">
        <v>483</v>
      </c>
      <c r="AU45" s="12" t="s">
        <v>398</v>
      </c>
      <c r="AV45" s="12" t="n">
        <v>0</v>
      </c>
      <c r="AW45" s="12" t="n">
        <v>1</v>
      </c>
      <c r="AX45" s="12" t="n">
        <v>0</v>
      </c>
      <c r="AY45" s="12" t="n">
        <v>0</v>
      </c>
      <c r="AZ45" s="12" t="n">
        <v>0</v>
      </c>
      <c r="BA45" s="12" t="n">
        <v>0</v>
      </c>
      <c r="BB45" s="12" t="n">
        <v>5</v>
      </c>
      <c r="BC45" s="12" t="n">
        <v>1</v>
      </c>
      <c r="BD45" s="12" t="n">
        <v>6</v>
      </c>
      <c r="BE45" s="12" t="n">
        <v>7</v>
      </c>
      <c r="BF45" s="12" t="n">
        <v>2</v>
      </c>
      <c r="BG45" s="12" t="n">
        <v>3</v>
      </c>
      <c r="BH45" s="12" t="n">
        <v>4</v>
      </c>
      <c r="BI45" s="12" t="n">
        <v>7</v>
      </c>
      <c r="BJ45" s="12" t="n">
        <v>6</v>
      </c>
      <c r="BK45" s="12" t="n">
        <v>5</v>
      </c>
      <c r="BL45" s="12" t="n">
        <v>5</v>
      </c>
      <c r="BM45" s="12" t="n">
        <v>4</v>
      </c>
      <c r="BN45" s="12" t="n">
        <v>3</v>
      </c>
      <c r="BO45" s="12" t="n">
        <v>1</v>
      </c>
      <c r="BP45" s="12" t="n">
        <v>2</v>
      </c>
      <c r="BQ45" s="12" t="n">
        <v>4</v>
      </c>
      <c r="BR45" s="12" t="n">
        <v>5</v>
      </c>
      <c r="BS45" s="12" t="n">
        <v>6</v>
      </c>
      <c r="BT45" s="12" t="s">
        <v>788</v>
      </c>
      <c r="BU45" s="12" t="s">
        <v>789</v>
      </c>
      <c r="BV45" s="12"/>
      <c r="BW45" s="16" t="n">
        <f aca="false">IF($R45="","",INDEX(Codes!$E$2:$E$108,MATCH("B1|"&amp;$R45,Codes!$A$2:$A$108,0)))</f>
        <v>4</v>
      </c>
      <c r="BX45" s="16" t="n">
        <f aca="false">IF($Y45="","",INDEX(Codes!$E$2:$E$108,MATCH("B4|"&amp;$Y45,Codes!$A$2:$A$108,0)))</f>
        <v>1</v>
      </c>
      <c r="BY45" s="16" t="n">
        <f aca="false">IF($I45="","",INDEX(Codes!$E$2:$E$108,MATCH("A7|"&amp;$I45,Codes!$A$2:$A$108,0)))</f>
        <v>0</v>
      </c>
      <c r="BZ45" s="16" t="n">
        <f aca="false">IF($AU45="","",INDEX(Codes!$E$2:$E$108,MATCH("B8|"&amp;$AU45,Codes!$A$2:$A$108,0)))</f>
        <v>3</v>
      </c>
      <c r="CA45" s="16" t="n">
        <f aca="false">IF($H45="","",INDEX(Codes!$E$2:$E$108,MATCH("A6|"&amp;$H45,Codes!$A$2:$A$108,0)))</f>
        <v>4</v>
      </c>
      <c r="CB45" s="16" t="n">
        <f aca="false">IF($X45="","",IF($X45="phone",1,0))</f>
        <v>1</v>
      </c>
      <c r="CC45" s="16" t="n">
        <f aca="false">IF($BC45="","",8-$BC45)</f>
        <v>7</v>
      </c>
      <c r="CD45" s="12" t="s">
        <v>643</v>
      </c>
      <c r="CE45" s="12" t="n">
        <v>-3.928</v>
      </c>
      <c r="CF45" s="12" t="n">
        <v>-1.434</v>
      </c>
    </row>
    <row r="46" customFormat="false" ht="15" hidden="false" customHeight="false" outlineLevel="0" collapsed="false">
      <c r="A46" s="12" t="s">
        <v>790</v>
      </c>
      <c r="B46" s="12" t="s">
        <v>791</v>
      </c>
      <c r="C46" s="12" t="s">
        <v>274</v>
      </c>
      <c r="D46" s="12" t="s">
        <v>289</v>
      </c>
      <c r="E46" s="12" t="s">
        <v>305</v>
      </c>
      <c r="F46" s="12" t="s">
        <v>318</v>
      </c>
      <c r="G46" s="12" t="s">
        <v>336</v>
      </c>
      <c r="H46" s="12" t="s">
        <v>345</v>
      </c>
      <c r="I46" s="12" t="s">
        <v>362</v>
      </c>
      <c r="J46" s="12" t="n">
        <v>1</v>
      </c>
      <c r="K46" s="12" t="n">
        <v>0</v>
      </c>
      <c r="L46" s="12" t="n">
        <v>0</v>
      </c>
      <c r="M46" s="12" t="n">
        <v>0</v>
      </c>
      <c r="N46" s="12" t="n">
        <v>0</v>
      </c>
      <c r="O46" s="12" t="n">
        <v>0</v>
      </c>
      <c r="P46" s="12" t="n">
        <v>0</v>
      </c>
      <c r="Q46" s="12" t="n">
        <v>5</v>
      </c>
      <c r="R46" s="12" t="s">
        <v>404</v>
      </c>
      <c r="S46" s="12" t="n">
        <v>0</v>
      </c>
      <c r="T46" s="12" t="n">
        <v>0</v>
      </c>
      <c r="U46" s="12" t="n">
        <v>0</v>
      </c>
      <c r="V46" s="12" t="n">
        <v>1</v>
      </c>
      <c r="W46" s="12" t="n">
        <v>0</v>
      </c>
      <c r="X46" s="12" t="s">
        <v>424</v>
      </c>
      <c r="Y46" s="12" t="s">
        <v>428</v>
      </c>
      <c r="Z46" s="12" t="n">
        <v>1</v>
      </c>
      <c r="AA46" s="12" t="n">
        <v>1</v>
      </c>
      <c r="AB46" s="12" t="n">
        <v>1</v>
      </c>
      <c r="AC46" s="12" t="n">
        <v>0</v>
      </c>
      <c r="AD46" s="12" t="n">
        <v>1</v>
      </c>
      <c r="AE46" s="12" t="n">
        <v>0</v>
      </c>
      <c r="AF46" s="12" t="n">
        <v>0</v>
      </c>
      <c r="AG46" s="12" t="n">
        <v>1</v>
      </c>
      <c r="AH46" s="12" t="n">
        <v>0</v>
      </c>
      <c r="AI46" s="12" t="n">
        <v>1</v>
      </c>
      <c r="AJ46" s="12" t="n">
        <v>0</v>
      </c>
      <c r="AK46" s="12" t="n">
        <v>0</v>
      </c>
      <c r="AL46" s="12" t="n">
        <v>0</v>
      </c>
      <c r="AM46" s="12" t="n">
        <v>1</v>
      </c>
      <c r="AN46" s="12" t="n">
        <v>1</v>
      </c>
      <c r="AO46" s="12" t="n">
        <v>1</v>
      </c>
      <c r="AP46" s="12" t="n">
        <v>1</v>
      </c>
      <c r="AQ46" s="12" t="n">
        <v>0</v>
      </c>
      <c r="AR46" s="12" t="n">
        <v>0</v>
      </c>
      <c r="AS46" s="12" t="n">
        <v>0</v>
      </c>
      <c r="AT46" s="12" t="s">
        <v>480</v>
      </c>
      <c r="AU46" s="12" t="s">
        <v>343</v>
      </c>
      <c r="AV46" s="12" t="n">
        <v>0</v>
      </c>
      <c r="AW46" s="12" t="n">
        <v>1</v>
      </c>
      <c r="AX46" s="12" t="n">
        <v>0</v>
      </c>
      <c r="AY46" s="12" t="n">
        <v>1</v>
      </c>
      <c r="AZ46" s="12" t="n">
        <v>0</v>
      </c>
      <c r="BA46" s="12" t="n">
        <v>0</v>
      </c>
      <c r="BB46" s="12" t="n">
        <v>4</v>
      </c>
      <c r="BC46" s="12" t="n">
        <v>3</v>
      </c>
      <c r="BD46" s="12" t="n">
        <v>4</v>
      </c>
      <c r="BE46" s="12" t="n">
        <v>5</v>
      </c>
      <c r="BF46" s="12" t="n">
        <v>2</v>
      </c>
      <c r="BG46" s="12" t="n">
        <v>5</v>
      </c>
      <c r="BH46" s="12" t="n">
        <v>3</v>
      </c>
      <c r="BI46" s="12" t="n">
        <v>6</v>
      </c>
      <c r="BJ46" s="12" t="n">
        <v>6</v>
      </c>
      <c r="BK46" s="12" t="n">
        <v>3</v>
      </c>
      <c r="BL46" s="12" t="n">
        <v>5</v>
      </c>
      <c r="BM46" s="12" t="n">
        <v>3</v>
      </c>
      <c r="BN46" s="12" t="n">
        <v>3</v>
      </c>
      <c r="BO46" s="12" t="n">
        <v>1</v>
      </c>
      <c r="BP46" s="12" t="n">
        <v>2</v>
      </c>
      <c r="BQ46" s="12" t="n">
        <v>5</v>
      </c>
      <c r="BR46" s="12" t="n">
        <v>6</v>
      </c>
      <c r="BS46" s="12" t="n">
        <v>4</v>
      </c>
      <c r="BT46" s="12" t="s">
        <v>792</v>
      </c>
      <c r="BU46" s="12" t="s">
        <v>730</v>
      </c>
      <c r="BV46" s="12"/>
      <c r="BW46" s="16" t="n">
        <f aca="false">IF($R46="","",INDEX(Codes!$E$2:$E$108,MATCH("B1|"&amp;$R46,Codes!$A$2:$A$108,0)))</f>
        <v>6</v>
      </c>
      <c r="BX46" s="16" t="n">
        <f aca="false">IF($Y46="","",INDEX(Codes!$E$2:$E$108,MATCH("B4|"&amp;$Y46,Codes!$A$2:$A$108,0)))</f>
        <v>1</v>
      </c>
      <c r="BY46" s="16" t="n">
        <f aca="false">IF($I46="","",INDEX(Codes!$E$2:$E$108,MATCH("A7|"&amp;$I46,Codes!$A$2:$A$108,0)))</f>
        <v>2</v>
      </c>
      <c r="BZ46" s="16" t="n">
        <f aca="false">IF($AU46="","",INDEX(Codes!$E$2:$E$108,MATCH("B8|"&amp;$AU46,Codes!$A$2:$A$108,0)))</f>
        <v>1</v>
      </c>
      <c r="CA46" s="16" t="n">
        <f aca="false">IF($H46="","",INDEX(Codes!$E$2:$E$108,MATCH("A6|"&amp;$H46,Codes!$A$2:$A$108,0)))</f>
        <v>2</v>
      </c>
      <c r="CB46" s="16" t="n">
        <f aca="false">IF($X46="","",IF($X46="phone",1,0))</f>
        <v>1</v>
      </c>
      <c r="CC46" s="16" t="n">
        <f aca="false">IF($BC46="","",8-$BC46)</f>
        <v>5</v>
      </c>
      <c r="CD46" s="12" t="s">
        <v>643</v>
      </c>
      <c r="CE46" s="12" t="n">
        <v>-3.668</v>
      </c>
      <c r="CF46" s="12" t="n">
        <v>-1.18</v>
      </c>
    </row>
    <row r="47" customFormat="false" ht="15" hidden="false" customHeight="false" outlineLevel="0" collapsed="false">
      <c r="A47" s="12" t="s">
        <v>793</v>
      </c>
      <c r="B47" s="12" t="s">
        <v>794</v>
      </c>
      <c r="C47" s="12" t="s">
        <v>286</v>
      </c>
      <c r="D47" s="12" t="s">
        <v>299</v>
      </c>
      <c r="E47" s="12" t="s">
        <v>305</v>
      </c>
      <c r="F47" s="12" t="s">
        <v>324</v>
      </c>
      <c r="G47" s="12" t="s">
        <v>333</v>
      </c>
      <c r="H47" s="12" t="s">
        <v>353</v>
      </c>
      <c r="I47" s="12" t="s">
        <v>362</v>
      </c>
      <c r="J47" s="12" t="n">
        <v>1</v>
      </c>
      <c r="K47" s="12" t="n">
        <v>0</v>
      </c>
      <c r="L47" s="12" t="n">
        <v>0</v>
      </c>
      <c r="M47" s="12" t="n">
        <v>0</v>
      </c>
      <c r="N47" s="12" t="n">
        <v>0</v>
      </c>
      <c r="O47" s="12" t="n">
        <v>0</v>
      </c>
      <c r="P47" s="12" t="n">
        <v>0</v>
      </c>
      <c r="Q47" s="12" t="n">
        <v>2</v>
      </c>
      <c r="R47" s="12" t="s">
        <v>343</v>
      </c>
      <c r="S47" s="12" t="n">
        <v>1</v>
      </c>
      <c r="T47" s="12" t="n">
        <v>1</v>
      </c>
      <c r="U47" s="12" t="n">
        <v>0</v>
      </c>
      <c r="V47" s="12" t="n">
        <v>0</v>
      </c>
      <c r="W47" s="12" t="n">
        <v>1</v>
      </c>
      <c r="X47" s="12" t="s">
        <v>410</v>
      </c>
      <c r="Y47" s="12" t="s">
        <v>437</v>
      </c>
      <c r="Z47" s="12" t="n">
        <v>1</v>
      </c>
      <c r="AA47" s="12" t="n">
        <v>0</v>
      </c>
      <c r="AB47" s="12" t="n">
        <v>1</v>
      </c>
      <c r="AC47" s="12" t="n">
        <v>1</v>
      </c>
      <c r="AD47" s="12" t="n">
        <v>0</v>
      </c>
      <c r="AE47" s="12" t="n">
        <v>0</v>
      </c>
      <c r="AF47" s="12" t="n">
        <v>0</v>
      </c>
      <c r="AG47" s="12" t="n">
        <v>0</v>
      </c>
      <c r="AH47" s="12" t="n">
        <v>0</v>
      </c>
      <c r="AI47" s="12" t="n">
        <v>0</v>
      </c>
      <c r="AJ47" s="12" t="n">
        <v>0</v>
      </c>
      <c r="AK47" s="12" t="n">
        <v>0</v>
      </c>
      <c r="AL47" s="12" t="n">
        <v>0</v>
      </c>
      <c r="AM47" s="12" t="n">
        <v>0</v>
      </c>
      <c r="AN47" s="12" t="n">
        <v>0</v>
      </c>
      <c r="AO47" s="12" t="n">
        <v>0</v>
      </c>
      <c r="AP47" s="12" t="n">
        <v>0</v>
      </c>
      <c r="AQ47" s="12" t="n">
        <v>1</v>
      </c>
      <c r="AR47" s="12" t="n">
        <v>1</v>
      </c>
      <c r="AS47" s="12" t="n">
        <v>1</v>
      </c>
      <c r="AT47" s="12" t="s">
        <v>480</v>
      </c>
      <c r="AU47" s="12" t="s">
        <v>395</v>
      </c>
      <c r="AV47" s="12" t="n">
        <v>1</v>
      </c>
      <c r="AW47" s="12" t="n">
        <v>1</v>
      </c>
      <c r="AX47" s="12" t="n">
        <v>0</v>
      </c>
      <c r="AY47" s="12" t="n">
        <v>0</v>
      </c>
      <c r="AZ47" s="12" t="n">
        <v>1</v>
      </c>
      <c r="BA47" s="12" t="n">
        <v>0</v>
      </c>
      <c r="BB47" s="12" t="n">
        <v>5</v>
      </c>
      <c r="BC47" s="12" t="n">
        <v>2</v>
      </c>
      <c r="BD47" s="12" t="n">
        <v>3</v>
      </c>
      <c r="BE47" s="12" t="n">
        <v>5</v>
      </c>
      <c r="BF47" s="12" t="n">
        <v>2</v>
      </c>
      <c r="BG47" s="12" t="n">
        <v>4</v>
      </c>
      <c r="BH47" s="12" t="n">
        <v>5</v>
      </c>
      <c r="BI47" s="12" t="n">
        <v>1</v>
      </c>
      <c r="BJ47" s="12" t="n">
        <v>4</v>
      </c>
      <c r="BK47" s="12" t="n">
        <v>2</v>
      </c>
      <c r="BL47" s="12" t="n">
        <v>3</v>
      </c>
      <c r="BM47" s="12" t="n">
        <v>2</v>
      </c>
      <c r="BN47" s="12" t="n">
        <v>1</v>
      </c>
      <c r="BO47" s="12" t="n">
        <v>3</v>
      </c>
      <c r="BP47" s="12" t="n">
        <v>4</v>
      </c>
      <c r="BQ47" s="12" t="n">
        <v>2</v>
      </c>
      <c r="BR47" s="12" t="n">
        <v>6</v>
      </c>
      <c r="BS47" s="12" t="n">
        <v>5</v>
      </c>
      <c r="BT47" s="12" t="s">
        <v>795</v>
      </c>
      <c r="BU47" s="12"/>
      <c r="BV47" s="12"/>
      <c r="BW47" s="16" t="n">
        <f aca="false">IF($R47="","",INDEX(Codes!$E$2:$E$108,MATCH("B1|"&amp;$R47,Codes!$A$2:$A$108,0)))</f>
        <v>2</v>
      </c>
      <c r="BX47" s="16" t="n">
        <f aca="false">IF($Y47="","",INDEX(Codes!$E$2:$E$108,MATCH("B4|"&amp;$Y47,Codes!$A$2:$A$108,0)))</f>
        <v>4</v>
      </c>
      <c r="BY47" s="16" t="n">
        <f aca="false">IF($I47="","",INDEX(Codes!$E$2:$E$108,MATCH("A7|"&amp;$I47,Codes!$A$2:$A$108,0)))</f>
        <v>2</v>
      </c>
      <c r="BZ47" s="16" t="n">
        <f aca="false">IF($AU47="","",INDEX(Codes!$E$2:$E$108,MATCH("B8|"&amp;$AU47,Codes!$A$2:$A$108,0)))</f>
        <v>2</v>
      </c>
      <c r="CA47" s="16" t="n">
        <f aca="false">IF($H47="","",INDEX(Codes!$E$2:$E$108,MATCH("A6|"&amp;$H47,Codes!$A$2:$A$108,0)))</f>
        <v>6</v>
      </c>
      <c r="CB47" s="16" t="n">
        <f aca="false">IF($X47="","",IF($X47="phone",1,0))</f>
        <v>0</v>
      </c>
      <c r="CC47" s="16" t="n">
        <f aca="false">IF($BC47="","",8-$BC47)</f>
        <v>6</v>
      </c>
      <c r="CD47" s="12" t="s">
        <v>631</v>
      </c>
      <c r="CE47" s="12" t="n">
        <v>1.795</v>
      </c>
      <c r="CF47" s="12" t="n">
        <v>-2.381</v>
      </c>
    </row>
    <row r="48" customFormat="false" ht="15" hidden="false" customHeight="false" outlineLevel="0" collapsed="false">
      <c r="A48" s="12" t="s">
        <v>796</v>
      </c>
      <c r="B48" s="12" t="s">
        <v>797</v>
      </c>
      <c r="C48" s="12" t="s">
        <v>274</v>
      </c>
      <c r="D48" s="12" t="s">
        <v>297</v>
      </c>
      <c r="E48" s="12" t="s">
        <v>305</v>
      </c>
      <c r="F48" s="12" t="s">
        <v>327</v>
      </c>
      <c r="G48" s="12" t="s">
        <v>333</v>
      </c>
      <c r="H48" s="12" t="s">
        <v>345</v>
      </c>
      <c r="I48" s="12" t="s">
        <v>368</v>
      </c>
      <c r="J48" s="12" t="n">
        <v>1</v>
      </c>
      <c r="K48" s="12" t="n">
        <v>0</v>
      </c>
      <c r="L48" s="12" t="n">
        <v>0</v>
      </c>
      <c r="M48" s="12" t="n">
        <v>0</v>
      </c>
      <c r="N48" s="12" t="n">
        <v>0</v>
      </c>
      <c r="O48" s="12" t="n">
        <v>0</v>
      </c>
      <c r="P48" s="12" t="n">
        <v>0</v>
      </c>
      <c r="Q48" s="12" t="n">
        <v>4</v>
      </c>
      <c r="R48" s="12" t="s">
        <v>395</v>
      </c>
      <c r="S48" s="12" t="n">
        <v>1</v>
      </c>
      <c r="T48" s="12" t="n">
        <v>0</v>
      </c>
      <c r="U48" s="12" t="n">
        <v>1</v>
      </c>
      <c r="V48" s="12" t="n">
        <v>1</v>
      </c>
      <c r="W48" s="12" t="n">
        <v>0</v>
      </c>
      <c r="X48" s="12" t="s">
        <v>424</v>
      </c>
      <c r="Y48" s="12" t="s">
        <v>434</v>
      </c>
      <c r="Z48" s="12" t="n">
        <v>1</v>
      </c>
      <c r="AA48" s="12" t="n">
        <v>1</v>
      </c>
      <c r="AB48" s="12" t="n">
        <v>0</v>
      </c>
      <c r="AC48" s="12" t="n">
        <v>0</v>
      </c>
      <c r="AD48" s="12" t="n">
        <v>0</v>
      </c>
      <c r="AE48" s="12" t="n">
        <v>0</v>
      </c>
      <c r="AF48" s="12" t="n">
        <v>0</v>
      </c>
      <c r="AG48" s="12" t="n">
        <v>1</v>
      </c>
      <c r="AH48" s="12" t="n">
        <v>1</v>
      </c>
      <c r="AI48" s="12" t="n">
        <v>0</v>
      </c>
      <c r="AJ48" s="12" t="n">
        <v>0</v>
      </c>
      <c r="AK48" s="12" t="n">
        <v>0</v>
      </c>
      <c r="AL48" s="12" t="n">
        <v>0</v>
      </c>
      <c r="AM48" s="12" t="n">
        <v>0</v>
      </c>
      <c r="AN48" s="12" t="n">
        <v>0</v>
      </c>
      <c r="AO48" s="12" t="n">
        <v>0</v>
      </c>
      <c r="AP48" s="12" t="n">
        <v>1</v>
      </c>
      <c r="AQ48" s="12" t="n">
        <v>0</v>
      </c>
      <c r="AR48" s="12" t="n">
        <v>0</v>
      </c>
      <c r="AS48" s="12" t="n">
        <v>1</v>
      </c>
      <c r="AT48" s="12" t="s">
        <v>480</v>
      </c>
      <c r="AU48" s="12" t="s">
        <v>395</v>
      </c>
      <c r="AV48" s="12" t="n">
        <v>1</v>
      </c>
      <c r="AW48" s="12" t="n">
        <v>1</v>
      </c>
      <c r="AX48" s="12" t="n">
        <v>0</v>
      </c>
      <c r="AY48" s="12" t="n">
        <v>1</v>
      </c>
      <c r="AZ48" s="12" t="n">
        <v>0</v>
      </c>
      <c r="BA48" s="12" t="n">
        <v>0</v>
      </c>
      <c r="BB48" s="12" t="n">
        <v>4</v>
      </c>
      <c r="BC48" s="12" t="n">
        <v>5</v>
      </c>
      <c r="BD48" s="12" t="n">
        <v>3</v>
      </c>
      <c r="BE48" s="12" t="n">
        <v>5</v>
      </c>
      <c r="BF48" s="12" t="n">
        <v>5</v>
      </c>
      <c r="BG48" s="12" t="n">
        <v>3</v>
      </c>
      <c r="BH48" s="12" t="n">
        <v>5</v>
      </c>
      <c r="BI48" s="12" t="n">
        <v>3</v>
      </c>
      <c r="BJ48" s="12" t="n">
        <v>4</v>
      </c>
      <c r="BK48" s="12" t="n">
        <v>4</v>
      </c>
      <c r="BL48" s="12" t="n">
        <v>3</v>
      </c>
      <c r="BM48" s="12" t="n">
        <v>3</v>
      </c>
      <c r="BN48" s="12" t="n">
        <v>5</v>
      </c>
      <c r="BO48" s="12" t="n">
        <v>2</v>
      </c>
      <c r="BP48" s="12" t="n">
        <v>3</v>
      </c>
      <c r="BQ48" s="12" t="n">
        <v>6</v>
      </c>
      <c r="BR48" s="12" t="n">
        <v>1</v>
      </c>
      <c r="BS48" s="12" t="n">
        <v>4</v>
      </c>
      <c r="BT48" s="12" t="s">
        <v>798</v>
      </c>
      <c r="BU48" s="12" t="s">
        <v>799</v>
      </c>
      <c r="BV48" s="12"/>
      <c r="BW48" s="16" t="n">
        <f aca="false">IF($R48="","",INDEX(Codes!$E$2:$E$108,MATCH("B1|"&amp;$R48,Codes!$A$2:$A$108,0)))</f>
        <v>3</v>
      </c>
      <c r="BX48" s="16" t="n">
        <f aca="false">IF($Y48="","",INDEX(Codes!$E$2:$E$108,MATCH("B4|"&amp;$Y48,Codes!$A$2:$A$108,0)))</f>
        <v>3</v>
      </c>
      <c r="BY48" s="16" t="n">
        <f aca="false">IF($I48="","",INDEX(Codes!$E$2:$E$108,MATCH("A7|"&amp;$I48,Codes!$A$2:$A$108,0)))</f>
        <v>4</v>
      </c>
      <c r="BZ48" s="16" t="n">
        <f aca="false">IF($AU48="","",INDEX(Codes!$E$2:$E$108,MATCH("B8|"&amp;$AU48,Codes!$A$2:$A$108,0)))</f>
        <v>2</v>
      </c>
      <c r="CA48" s="16" t="n">
        <f aca="false">IF($H48="","",INDEX(Codes!$E$2:$E$108,MATCH("A6|"&amp;$H48,Codes!$A$2:$A$108,0)))</f>
        <v>2</v>
      </c>
      <c r="CB48" s="16" t="n">
        <f aca="false">IF($X48="","",IF($X48="phone",1,0))</f>
        <v>1</v>
      </c>
      <c r="CC48" s="16" t="n">
        <f aca="false">IF($BC48="","",8-$BC48)</f>
        <v>3</v>
      </c>
      <c r="CD48" s="12" t="s">
        <v>648</v>
      </c>
      <c r="CE48" s="12" t="n">
        <v>0.479</v>
      </c>
      <c r="CF48" s="12" t="n">
        <v>-2.245</v>
      </c>
    </row>
    <row r="49" customFormat="false" ht="15" hidden="false" customHeight="false" outlineLevel="0" collapsed="false">
      <c r="A49" s="12" t="s">
        <v>800</v>
      </c>
      <c r="B49" s="12" t="s">
        <v>801</v>
      </c>
      <c r="C49" s="12" t="s">
        <v>283</v>
      </c>
      <c r="D49" s="12" t="s">
        <v>295</v>
      </c>
      <c r="E49" s="12" t="s">
        <v>308</v>
      </c>
      <c r="F49" s="12" t="s">
        <v>321</v>
      </c>
      <c r="G49" s="12" t="s">
        <v>333</v>
      </c>
      <c r="H49" s="12" t="s">
        <v>343</v>
      </c>
      <c r="I49" s="12" t="s">
        <v>356</v>
      </c>
      <c r="J49" s="12" t="n">
        <v>1</v>
      </c>
      <c r="K49" s="12" t="n">
        <v>0</v>
      </c>
      <c r="L49" s="12" t="n">
        <v>0</v>
      </c>
      <c r="M49" s="12" t="n">
        <v>0</v>
      </c>
      <c r="N49" s="12" t="n">
        <v>0</v>
      </c>
      <c r="O49" s="12" t="n">
        <v>0</v>
      </c>
      <c r="P49" s="12" t="n">
        <v>0</v>
      </c>
      <c r="Q49" s="12" t="n">
        <v>7</v>
      </c>
      <c r="R49" s="12" t="s">
        <v>404</v>
      </c>
      <c r="S49" s="12" t="n">
        <v>1</v>
      </c>
      <c r="T49" s="12" t="n">
        <v>1</v>
      </c>
      <c r="U49" s="12" t="n">
        <v>0</v>
      </c>
      <c r="V49" s="12" t="n">
        <v>0</v>
      </c>
      <c r="W49" s="12" t="n">
        <v>0</v>
      </c>
      <c r="X49" s="12" t="s">
        <v>410</v>
      </c>
      <c r="Y49" s="12" t="s">
        <v>440</v>
      </c>
      <c r="Z49" s="12" t="n">
        <v>1</v>
      </c>
      <c r="AA49" s="12" t="n">
        <v>1</v>
      </c>
      <c r="AB49" s="12" t="n">
        <v>1</v>
      </c>
      <c r="AC49" s="12" t="n">
        <v>1</v>
      </c>
      <c r="AD49" s="12" t="n">
        <v>0</v>
      </c>
      <c r="AE49" s="12" t="n">
        <v>1</v>
      </c>
      <c r="AF49" s="12" t="n">
        <v>0</v>
      </c>
      <c r="AG49" s="12" t="n">
        <v>1</v>
      </c>
      <c r="AH49" s="12" t="n">
        <v>1</v>
      </c>
      <c r="AI49" s="12" t="n">
        <v>1</v>
      </c>
      <c r="AJ49" s="12" t="n">
        <v>1</v>
      </c>
      <c r="AK49" s="12" t="n">
        <v>0</v>
      </c>
      <c r="AL49" s="12" t="n">
        <v>0</v>
      </c>
      <c r="AM49" s="12" t="n">
        <v>1</v>
      </c>
      <c r="AN49" s="12" t="n">
        <v>0</v>
      </c>
      <c r="AO49" s="12" t="n">
        <v>0</v>
      </c>
      <c r="AP49" s="12" t="n">
        <v>0</v>
      </c>
      <c r="AQ49" s="12" t="n">
        <v>0</v>
      </c>
      <c r="AR49" s="12" t="n">
        <v>1</v>
      </c>
      <c r="AS49" s="12" t="n">
        <v>0</v>
      </c>
      <c r="AT49" s="12" t="s">
        <v>480</v>
      </c>
      <c r="AU49" s="12" t="s">
        <v>395</v>
      </c>
      <c r="AV49" s="12" t="n">
        <v>0</v>
      </c>
      <c r="AW49" s="12" t="n">
        <v>1</v>
      </c>
      <c r="AX49" s="12" t="n">
        <v>0</v>
      </c>
      <c r="AY49" s="12" t="n">
        <v>0</v>
      </c>
      <c r="AZ49" s="12" t="n">
        <v>1</v>
      </c>
      <c r="BA49" s="12" t="n">
        <v>0</v>
      </c>
      <c r="BB49" s="12" t="n">
        <v>3</v>
      </c>
      <c r="BC49" s="12" t="n">
        <v>5</v>
      </c>
      <c r="BD49" s="12" t="n">
        <v>4</v>
      </c>
      <c r="BE49" s="12" t="n">
        <v>6</v>
      </c>
      <c r="BF49" s="12" t="n">
        <v>1</v>
      </c>
      <c r="BG49" s="12" t="n">
        <v>5</v>
      </c>
      <c r="BH49" s="12" t="n">
        <v>5</v>
      </c>
      <c r="BI49" s="12" t="n">
        <v>6</v>
      </c>
      <c r="BJ49" s="12" t="n">
        <v>7</v>
      </c>
      <c r="BK49" s="12" t="n">
        <v>4</v>
      </c>
      <c r="BL49" s="12" t="n">
        <v>6</v>
      </c>
      <c r="BM49" s="12" t="n">
        <v>2</v>
      </c>
      <c r="BN49" s="12" t="n">
        <v>1</v>
      </c>
      <c r="BO49" s="12" t="n">
        <v>5</v>
      </c>
      <c r="BP49" s="12" t="n">
        <v>2</v>
      </c>
      <c r="BQ49" s="12" t="n">
        <v>3</v>
      </c>
      <c r="BR49" s="12" t="n">
        <v>6</v>
      </c>
      <c r="BS49" s="12" t="n">
        <v>4</v>
      </c>
      <c r="BT49" s="12" t="s">
        <v>802</v>
      </c>
      <c r="BU49" s="12" t="s">
        <v>777</v>
      </c>
      <c r="BV49" s="12"/>
      <c r="BW49" s="16" t="n">
        <f aca="false">IF($R49="","",INDEX(Codes!$E$2:$E$108,MATCH("B1|"&amp;$R49,Codes!$A$2:$A$108,0)))</f>
        <v>6</v>
      </c>
      <c r="BX49" s="16" t="n">
        <f aca="false">IF($Y49="","",INDEX(Codes!$E$2:$E$108,MATCH("B4|"&amp;$Y49,Codes!$A$2:$A$108,0)))</f>
        <v>5</v>
      </c>
      <c r="BY49" s="16" t="n">
        <f aca="false">IF($I49="","",INDEX(Codes!$E$2:$E$108,MATCH("A7|"&amp;$I49,Codes!$A$2:$A$108,0)))</f>
        <v>0</v>
      </c>
      <c r="BZ49" s="16" t="n">
        <f aca="false">IF($AU49="","",INDEX(Codes!$E$2:$E$108,MATCH("B8|"&amp;$AU49,Codes!$A$2:$A$108,0)))</f>
        <v>2</v>
      </c>
      <c r="CA49" s="16" t="n">
        <f aca="false">IF($H49="","",INDEX(Codes!$E$2:$E$108,MATCH("A6|"&amp;$H49,Codes!$A$2:$A$108,0)))</f>
        <v>1</v>
      </c>
      <c r="CB49" s="16" t="n">
        <f aca="false">IF($X49="","",IF($X49="phone",1,0))</f>
        <v>0</v>
      </c>
      <c r="CC49" s="16" t="n">
        <f aca="false">IF($BC49="","",8-$BC49)</f>
        <v>3</v>
      </c>
      <c r="CD49" s="12" t="s">
        <v>614</v>
      </c>
      <c r="CE49" s="12" t="n">
        <v>-1.292</v>
      </c>
      <c r="CF49" s="12" t="n">
        <v>2.957</v>
      </c>
    </row>
    <row r="50" customFormat="false" ht="15" hidden="false" customHeight="false" outlineLevel="0" collapsed="false">
      <c r="A50" s="12" t="s">
        <v>803</v>
      </c>
      <c r="B50" s="12" t="s">
        <v>804</v>
      </c>
      <c r="C50" s="12" t="s">
        <v>274</v>
      </c>
      <c r="D50" s="12" t="s">
        <v>297</v>
      </c>
      <c r="E50" s="12" t="s">
        <v>308</v>
      </c>
      <c r="F50" s="12" t="s">
        <v>318</v>
      </c>
      <c r="G50" s="12" t="s">
        <v>336</v>
      </c>
      <c r="H50" s="12" t="s">
        <v>351</v>
      </c>
      <c r="I50" s="12" t="s">
        <v>368</v>
      </c>
      <c r="J50" s="12" t="n">
        <v>1</v>
      </c>
      <c r="K50" s="12" t="n">
        <v>0</v>
      </c>
      <c r="L50" s="12" t="n">
        <v>0</v>
      </c>
      <c r="M50" s="12" t="n">
        <v>0</v>
      </c>
      <c r="N50" s="12" t="n">
        <v>0</v>
      </c>
      <c r="O50" s="12" t="n">
        <v>0</v>
      </c>
      <c r="P50" s="12" t="n">
        <v>0</v>
      </c>
      <c r="Q50" s="12" t="n">
        <v>5</v>
      </c>
      <c r="R50" s="12" t="s">
        <v>395</v>
      </c>
      <c r="S50" s="12" t="n">
        <v>0</v>
      </c>
      <c r="T50" s="12" t="n">
        <v>0</v>
      </c>
      <c r="U50" s="12" t="n">
        <v>1</v>
      </c>
      <c r="V50" s="12" t="n">
        <v>0</v>
      </c>
      <c r="W50" s="12" t="n">
        <v>0</v>
      </c>
      <c r="X50" s="12" t="s">
        <v>424</v>
      </c>
      <c r="Y50" s="12" t="s">
        <v>434</v>
      </c>
      <c r="Z50" s="12" t="n">
        <v>1</v>
      </c>
      <c r="AA50" s="12" t="n">
        <v>1</v>
      </c>
      <c r="AB50" s="12" t="n">
        <v>0</v>
      </c>
      <c r="AC50" s="12" t="n">
        <v>1</v>
      </c>
      <c r="AD50" s="12" t="n">
        <v>0</v>
      </c>
      <c r="AE50" s="12" t="n">
        <v>0</v>
      </c>
      <c r="AF50" s="12" t="n">
        <v>0</v>
      </c>
      <c r="AG50" s="12" t="n">
        <v>1</v>
      </c>
      <c r="AH50" s="12" t="n">
        <v>1</v>
      </c>
      <c r="AI50" s="12" t="n">
        <v>0</v>
      </c>
      <c r="AJ50" s="12" t="n">
        <v>0</v>
      </c>
      <c r="AK50" s="12" t="n">
        <v>0</v>
      </c>
      <c r="AL50" s="12" t="n">
        <v>0</v>
      </c>
      <c r="AM50" s="12" t="n">
        <v>1</v>
      </c>
      <c r="AN50" s="12" t="n">
        <v>0</v>
      </c>
      <c r="AO50" s="12" t="n">
        <v>0</v>
      </c>
      <c r="AP50" s="12" t="n">
        <v>0</v>
      </c>
      <c r="AQ50" s="12" t="n">
        <v>1</v>
      </c>
      <c r="AR50" s="12" t="n">
        <v>0</v>
      </c>
      <c r="AS50" s="12" t="n">
        <v>0</v>
      </c>
      <c r="AT50" s="12" t="s">
        <v>510</v>
      </c>
      <c r="AU50" s="12" t="s">
        <v>395</v>
      </c>
      <c r="AV50" s="12" t="n">
        <v>0</v>
      </c>
      <c r="AW50" s="12" t="n">
        <v>0</v>
      </c>
      <c r="AX50" s="12" t="n">
        <v>0</v>
      </c>
      <c r="AY50" s="12" t="n">
        <v>0</v>
      </c>
      <c r="AZ50" s="12" t="n">
        <v>1</v>
      </c>
      <c r="BA50" s="12" t="n">
        <v>0</v>
      </c>
      <c r="BB50" s="12" t="n">
        <v>2</v>
      </c>
      <c r="BC50" s="12" t="n">
        <v>5</v>
      </c>
      <c r="BD50" s="12" t="n">
        <v>3</v>
      </c>
      <c r="BE50" s="12" t="n">
        <v>5</v>
      </c>
      <c r="BF50" s="12" t="n">
        <v>3</v>
      </c>
      <c r="BG50" s="12" t="n">
        <v>5</v>
      </c>
      <c r="BH50" s="12" t="n">
        <v>4</v>
      </c>
      <c r="BI50" s="12" t="n">
        <v>5</v>
      </c>
      <c r="BJ50" s="12" t="n">
        <v>4</v>
      </c>
      <c r="BK50" s="12" t="n">
        <v>5</v>
      </c>
      <c r="BL50" s="12" t="n">
        <v>3</v>
      </c>
      <c r="BM50" s="12" t="n">
        <v>3</v>
      </c>
      <c r="BN50" s="12" t="n">
        <v>4</v>
      </c>
      <c r="BO50" s="12" t="n">
        <v>2</v>
      </c>
      <c r="BP50" s="12" t="n">
        <v>1</v>
      </c>
      <c r="BQ50" s="12" t="n">
        <v>5</v>
      </c>
      <c r="BR50" s="12" t="n">
        <v>3</v>
      </c>
      <c r="BS50" s="12" t="n">
        <v>6</v>
      </c>
      <c r="BT50" s="12" t="s">
        <v>805</v>
      </c>
      <c r="BU50" s="12" t="s">
        <v>663</v>
      </c>
      <c r="BV50" s="12" t="s">
        <v>806</v>
      </c>
      <c r="BW50" s="16" t="n">
        <f aca="false">IF($R50="","",INDEX(Codes!$E$2:$E$108,MATCH("B1|"&amp;$R50,Codes!$A$2:$A$108,0)))</f>
        <v>3</v>
      </c>
      <c r="BX50" s="16" t="n">
        <f aca="false">IF($Y50="","",INDEX(Codes!$E$2:$E$108,MATCH("B4|"&amp;$Y50,Codes!$A$2:$A$108,0)))</f>
        <v>3</v>
      </c>
      <c r="BY50" s="16" t="n">
        <f aca="false">IF($I50="","",INDEX(Codes!$E$2:$E$108,MATCH("A7|"&amp;$I50,Codes!$A$2:$A$108,0)))</f>
        <v>4</v>
      </c>
      <c r="BZ50" s="16" t="n">
        <f aca="false">IF($AU50="","",INDEX(Codes!$E$2:$E$108,MATCH("B8|"&amp;$AU50,Codes!$A$2:$A$108,0)))</f>
        <v>2</v>
      </c>
      <c r="CA50" s="16" t="n">
        <f aca="false">IF($H50="","",INDEX(Codes!$E$2:$E$108,MATCH("A6|"&amp;$H50,Codes!$A$2:$A$108,0)))</f>
        <v>5</v>
      </c>
      <c r="CB50" s="16" t="n">
        <f aca="false">IF($X50="","",IF($X50="phone",1,0))</f>
        <v>1</v>
      </c>
      <c r="CC50" s="16" t="n">
        <f aca="false">IF($BC50="","",8-$BC50)</f>
        <v>3</v>
      </c>
      <c r="CD50" s="12" t="s">
        <v>648</v>
      </c>
      <c r="CE50" s="12" t="n">
        <v>-0.494</v>
      </c>
      <c r="CF50" s="12" t="n">
        <v>-2.08</v>
      </c>
    </row>
    <row r="51" customFormat="false" ht="15" hidden="false" customHeight="false" outlineLevel="0" collapsed="false">
      <c r="A51" s="12" t="s">
        <v>807</v>
      </c>
      <c r="B51" s="12" t="s">
        <v>808</v>
      </c>
      <c r="C51" s="12" t="s">
        <v>274</v>
      </c>
      <c r="D51" s="12" t="s">
        <v>291</v>
      </c>
      <c r="E51" s="12" t="s">
        <v>305</v>
      </c>
      <c r="F51" s="12" t="s">
        <v>315</v>
      </c>
      <c r="G51" s="12" t="s">
        <v>336</v>
      </c>
      <c r="H51" s="12" t="s">
        <v>351</v>
      </c>
      <c r="I51" s="12" t="s">
        <v>362</v>
      </c>
      <c r="J51" s="12" t="n">
        <v>1</v>
      </c>
      <c r="K51" s="12" t="n">
        <v>0</v>
      </c>
      <c r="L51" s="12" t="n">
        <v>0</v>
      </c>
      <c r="M51" s="12" t="n">
        <v>0</v>
      </c>
      <c r="N51" s="12" t="n">
        <v>0</v>
      </c>
      <c r="O51" s="12" t="n">
        <v>0</v>
      </c>
      <c r="P51" s="12" t="n">
        <v>0</v>
      </c>
      <c r="Q51" s="12" t="n">
        <v>7</v>
      </c>
      <c r="R51" s="12" t="s">
        <v>401</v>
      </c>
      <c r="S51" s="12" t="n">
        <v>1</v>
      </c>
      <c r="T51" s="12" t="n">
        <v>0</v>
      </c>
      <c r="U51" s="12" t="n">
        <v>0</v>
      </c>
      <c r="V51" s="12" t="n">
        <v>0</v>
      </c>
      <c r="W51" s="12" t="n">
        <v>1</v>
      </c>
      <c r="X51" s="12" t="s">
        <v>407</v>
      </c>
      <c r="Y51" s="12" t="s">
        <v>434</v>
      </c>
      <c r="Z51" s="12" t="n">
        <v>1</v>
      </c>
      <c r="AA51" s="12" t="n">
        <v>1</v>
      </c>
      <c r="AB51" s="12" t="n">
        <v>0</v>
      </c>
      <c r="AC51" s="12" t="n">
        <v>0</v>
      </c>
      <c r="AD51" s="12" t="n">
        <v>1</v>
      </c>
      <c r="AE51" s="12" t="n">
        <v>0</v>
      </c>
      <c r="AF51" s="12" t="n">
        <v>0</v>
      </c>
      <c r="AG51" s="12" t="n">
        <v>0</v>
      </c>
      <c r="AH51" s="12" t="n">
        <v>1</v>
      </c>
      <c r="AI51" s="12" t="n">
        <v>0</v>
      </c>
      <c r="AJ51" s="12" t="n">
        <v>0</v>
      </c>
      <c r="AK51" s="12" t="n">
        <v>0</v>
      </c>
      <c r="AL51" s="12" t="n">
        <v>1</v>
      </c>
      <c r="AM51" s="12" t="n">
        <v>0</v>
      </c>
      <c r="AN51" s="12" t="n">
        <v>0</v>
      </c>
      <c r="AO51" s="12" t="n">
        <v>1</v>
      </c>
      <c r="AP51" s="12" t="n">
        <v>0</v>
      </c>
      <c r="AQ51" s="12" t="n">
        <v>1</v>
      </c>
      <c r="AR51" s="12" t="n">
        <v>1</v>
      </c>
      <c r="AS51" s="12" t="n">
        <v>0</v>
      </c>
      <c r="AT51" s="12" t="s">
        <v>480</v>
      </c>
      <c r="AU51" s="12" t="s">
        <v>395</v>
      </c>
      <c r="AV51" s="12" t="n">
        <v>0</v>
      </c>
      <c r="AW51" s="12" t="n">
        <v>1</v>
      </c>
      <c r="AX51" s="12" t="n">
        <v>1</v>
      </c>
      <c r="AY51" s="12" t="n">
        <v>0</v>
      </c>
      <c r="AZ51" s="12" t="n">
        <v>0</v>
      </c>
      <c r="BA51" s="12" t="n">
        <v>0</v>
      </c>
      <c r="BB51" s="12" t="n">
        <v>1</v>
      </c>
      <c r="BC51" s="12" t="n">
        <v>7</v>
      </c>
      <c r="BD51" s="12" t="n">
        <v>5</v>
      </c>
      <c r="BE51" s="12" t="n">
        <v>5</v>
      </c>
      <c r="BF51" s="12" t="n">
        <v>3</v>
      </c>
      <c r="BG51" s="12" t="n">
        <v>1</v>
      </c>
      <c r="BH51" s="12" t="n">
        <v>4</v>
      </c>
      <c r="BI51" s="12" t="n">
        <v>7</v>
      </c>
      <c r="BJ51" s="12" t="n">
        <v>6</v>
      </c>
      <c r="BK51" s="12" t="n">
        <v>4</v>
      </c>
      <c r="BL51" s="12" t="n">
        <v>3</v>
      </c>
      <c r="BM51" s="12" t="n">
        <v>5</v>
      </c>
      <c r="BN51" s="12" t="n">
        <v>1</v>
      </c>
      <c r="BO51" s="12" t="n">
        <v>3</v>
      </c>
      <c r="BP51" s="12" t="n">
        <v>4</v>
      </c>
      <c r="BQ51" s="12" t="n">
        <v>5</v>
      </c>
      <c r="BR51" s="12" t="n">
        <v>2</v>
      </c>
      <c r="BS51" s="12" t="n">
        <v>6</v>
      </c>
      <c r="BT51" s="12" t="s">
        <v>809</v>
      </c>
      <c r="BU51" s="12" t="s">
        <v>810</v>
      </c>
      <c r="BV51" s="12"/>
      <c r="BW51" s="16" t="n">
        <f aca="false">IF($R51="","",INDEX(Codes!$E$2:$E$108,MATCH("B1|"&amp;$R51,Codes!$A$2:$A$108,0)))</f>
        <v>5</v>
      </c>
      <c r="BX51" s="16" t="n">
        <f aca="false">IF($Y51="","",INDEX(Codes!$E$2:$E$108,MATCH("B4|"&amp;$Y51,Codes!$A$2:$A$108,0)))</f>
        <v>3</v>
      </c>
      <c r="BY51" s="16" t="n">
        <f aca="false">IF($I51="","",INDEX(Codes!$E$2:$E$108,MATCH("A7|"&amp;$I51,Codes!$A$2:$A$108,0)))</f>
        <v>2</v>
      </c>
      <c r="BZ51" s="16" t="n">
        <f aca="false">IF($AU51="","",INDEX(Codes!$E$2:$E$108,MATCH("B8|"&amp;$AU51,Codes!$A$2:$A$108,0)))</f>
        <v>2</v>
      </c>
      <c r="CA51" s="16" t="n">
        <f aca="false">IF($H51="","",INDEX(Codes!$E$2:$E$108,MATCH("A6|"&amp;$H51,Codes!$A$2:$A$108,0)))</f>
        <v>5</v>
      </c>
      <c r="CB51" s="16" t="n">
        <f aca="false">IF($X51="","",IF($X51="phone",1,0))</f>
        <v>0</v>
      </c>
      <c r="CC51" s="16" t="n">
        <f aca="false">IF($BC51="","",8-$BC51)</f>
        <v>1</v>
      </c>
      <c r="CD51" s="12" t="s">
        <v>620</v>
      </c>
      <c r="CE51" s="12" t="n">
        <v>1.172</v>
      </c>
      <c r="CF51" s="12" t="n">
        <v>2.19</v>
      </c>
    </row>
    <row r="52" customFormat="false" ht="15" hidden="false" customHeight="false" outlineLevel="0" collapsed="false">
      <c r="A52" s="12" t="s">
        <v>811</v>
      </c>
      <c r="B52" s="12" t="s">
        <v>812</v>
      </c>
      <c r="C52" s="12" t="s">
        <v>274</v>
      </c>
      <c r="D52" s="12" t="s">
        <v>291</v>
      </c>
      <c r="E52" s="12" t="s">
        <v>308</v>
      </c>
      <c r="F52" s="12" t="s">
        <v>315</v>
      </c>
      <c r="G52" s="12" t="s">
        <v>333</v>
      </c>
      <c r="H52" s="12" t="s">
        <v>349</v>
      </c>
      <c r="I52" s="12" t="s">
        <v>356</v>
      </c>
      <c r="J52" s="12" t="n">
        <v>0</v>
      </c>
      <c r="K52" s="12" t="n">
        <v>0</v>
      </c>
      <c r="L52" s="12" t="n">
        <v>0</v>
      </c>
      <c r="M52" s="12" t="n">
        <v>1</v>
      </c>
      <c r="N52" s="12" t="n">
        <v>0</v>
      </c>
      <c r="O52" s="12" t="n">
        <v>0</v>
      </c>
      <c r="P52" s="12" t="n">
        <v>0</v>
      </c>
      <c r="Q52" s="12" t="n">
        <v>4</v>
      </c>
      <c r="R52" s="12" t="s">
        <v>401</v>
      </c>
      <c r="S52" s="12" t="n">
        <v>1</v>
      </c>
      <c r="T52" s="12" t="n">
        <v>0</v>
      </c>
      <c r="U52" s="12" t="n">
        <v>0</v>
      </c>
      <c r="V52" s="12" t="n">
        <v>1</v>
      </c>
      <c r="W52" s="12" t="n">
        <v>0</v>
      </c>
      <c r="X52" s="12" t="s">
        <v>424</v>
      </c>
      <c r="Y52" s="12" t="s">
        <v>431</v>
      </c>
      <c r="Z52" s="12" t="n">
        <v>1</v>
      </c>
      <c r="AA52" s="12" t="n">
        <v>1</v>
      </c>
      <c r="AB52" s="12" t="n">
        <v>1</v>
      </c>
      <c r="AC52" s="12" t="n">
        <v>0</v>
      </c>
      <c r="AD52" s="12" t="n">
        <v>1</v>
      </c>
      <c r="AE52" s="12" t="n">
        <v>0</v>
      </c>
      <c r="AF52" s="12" t="n">
        <v>0</v>
      </c>
      <c r="AG52" s="12" t="n">
        <v>0</v>
      </c>
      <c r="AH52" s="12" t="n">
        <v>1</v>
      </c>
      <c r="AI52" s="12" t="n">
        <v>0</v>
      </c>
      <c r="AJ52" s="12" t="n">
        <v>0</v>
      </c>
      <c r="AK52" s="12" t="n">
        <v>0</v>
      </c>
      <c r="AL52" s="12" t="n">
        <v>1</v>
      </c>
      <c r="AM52" s="12" t="n">
        <v>1</v>
      </c>
      <c r="AN52" s="12" t="n">
        <v>0</v>
      </c>
      <c r="AO52" s="12" t="n">
        <v>0</v>
      </c>
      <c r="AP52" s="12" t="n">
        <v>1</v>
      </c>
      <c r="AQ52" s="12" t="n">
        <v>1</v>
      </c>
      <c r="AR52" s="12" t="n">
        <v>0</v>
      </c>
      <c r="AS52" s="12" t="n">
        <v>0</v>
      </c>
      <c r="AT52" s="12" t="s">
        <v>504</v>
      </c>
      <c r="AU52" s="12" t="s">
        <v>343</v>
      </c>
      <c r="AV52" s="12" t="n">
        <v>0</v>
      </c>
      <c r="AW52" s="12" t="n">
        <v>1</v>
      </c>
      <c r="AX52" s="12" t="n">
        <v>0</v>
      </c>
      <c r="AY52" s="12" t="n">
        <v>1</v>
      </c>
      <c r="AZ52" s="12" t="n">
        <v>1</v>
      </c>
      <c r="BA52" s="12" t="n">
        <v>0</v>
      </c>
      <c r="BB52" s="12" t="n">
        <v>4</v>
      </c>
      <c r="BC52" s="12" t="n">
        <v>5</v>
      </c>
      <c r="BD52" s="12" t="n">
        <v>5</v>
      </c>
      <c r="BE52" s="12" t="n">
        <v>6</v>
      </c>
      <c r="BF52" s="12" t="n">
        <v>2</v>
      </c>
      <c r="BG52" s="12" t="n">
        <v>2</v>
      </c>
      <c r="BH52" s="12" t="n">
        <v>3</v>
      </c>
      <c r="BI52" s="12" t="n">
        <v>6</v>
      </c>
      <c r="BJ52" s="12" t="n">
        <v>6</v>
      </c>
      <c r="BK52" s="12" t="n">
        <v>6</v>
      </c>
      <c r="BL52" s="12" t="n">
        <v>6</v>
      </c>
      <c r="BM52" s="12" t="n">
        <v>3</v>
      </c>
      <c r="BN52" s="12" t="n">
        <v>3</v>
      </c>
      <c r="BO52" s="12" t="n">
        <v>2</v>
      </c>
      <c r="BP52" s="12" t="n">
        <v>1</v>
      </c>
      <c r="BQ52" s="12" t="n">
        <v>5</v>
      </c>
      <c r="BR52" s="12" t="n">
        <v>4</v>
      </c>
      <c r="BS52" s="12" t="n">
        <v>6</v>
      </c>
      <c r="BT52" s="12" t="s">
        <v>813</v>
      </c>
      <c r="BU52" s="12" t="s">
        <v>746</v>
      </c>
      <c r="BV52" s="12" t="s">
        <v>814</v>
      </c>
      <c r="BW52" s="16" t="n">
        <f aca="false">IF($R52="","",INDEX(Codes!$E$2:$E$108,MATCH("B1|"&amp;$R52,Codes!$A$2:$A$108,0)))</f>
        <v>5</v>
      </c>
      <c r="BX52" s="16" t="n">
        <f aca="false">IF($Y52="","",INDEX(Codes!$E$2:$E$108,MATCH("B4|"&amp;$Y52,Codes!$A$2:$A$108,0)))</f>
        <v>2</v>
      </c>
      <c r="BY52" s="16" t="n">
        <f aca="false">IF($I52="","",INDEX(Codes!$E$2:$E$108,MATCH("A7|"&amp;$I52,Codes!$A$2:$A$108,0)))</f>
        <v>0</v>
      </c>
      <c r="BZ52" s="16" t="n">
        <f aca="false">IF($AU52="","",INDEX(Codes!$E$2:$E$108,MATCH("B8|"&amp;$AU52,Codes!$A$2:$A$108,0)))</f>
        <v>1</v>
      </c>
      <c r="CA52" s="16" t="n">
        <f aca="false">IF($H52="","",INDEX(Codes!$E$2:$E$108,MATCH("A6|"&amp;$H52,Codes!$A$2:$A$108,0)))</f>
        <v>4</v>
      </c>
      <c r="CB52" s="16" t="n">
        <f aca="false">IF($X52="","",IF($X52="phone",1,0))</f>
        <v>1</v>
      </c>
      <c r="CC52" s="16" t="n">
        <f aca="false">IF($BC52="","",8-$BC52)</f>
        <v>3</v>
      </c>
      <c r="CD52" s="12" t="s">
        <v>643</v>
      </c>
      <c r="CE52" s="12" t="n">
        <v>-2.967</v>
      </c>
      <c r="CF52" s="12" t="n">
        <v>-0.543</v>
      </c>
    </row>
    <row r="53" customFormat="false" ht="15" hidden="false" customHeight="false" outlineLevel="0" collapsed="false">
      <c r="A53" s="12" t="s">
        <v>815</v>
      </c>
      <c r="B53" s="12" t="s">
        <v>816</v>
      </c>
      <c r="C53" s="12" t="s">
        <v>271</v>
      </c>
      <c r="D53" s="12" t="s">
        <v>289</v>
      </c>
      <c r="E53" s="12" t="s">
        <v>305</v>
      </c>
      <c r="F53" s="12" t="s">
        <v>315</v>
      </c>
      <c r="G53" s="12" t="s">
        <v>333</v>
      </c>
      <c r="H53" s="12" t="s">
        <v>349</v>
      </c>
      <c r="I53" s="12" t="s">
        <v>356</v>
      </c>
      <c r="J53" s="12" t="n">
        <v>1</v>
      </c>
      <c r="K53" s="12" t="n">
        <v>0</v>
      </c>
      <c r="L53" s="12" t="n">
        <v>0</v>
      </c>
      <c r="M53" s="12" t="n">
        <v>0</v>
      </c>
      <c r="N53" s="12" t="n">
        <v>0</v>
      </c>
      <c r="O53" s="12" t="n">
        <v>0</v>
      </c>
      <c r="P53" s="12" t="n">
        <v>0</v>
      </c>
      <c r="Q53" s="12" t="n">
        <v>5</v>
      </c>
      <c r="R53" s="12" t="s">
        <v>404</v>
      </c>
      <c r="S53" s="12" t="n">
        <v>1</v>
      </c>
      <c r="T53" s="12" t="n">
        <v>0</v>
      </c>
      <c r="U53" s="12" t="n">
        <v>0</v>
      </c>
      <c r="V53" s="12" t="n">
        <v>1</v>
      </c>
      <c r="W53" s="12" t="n">
        <v>0</v>
      </c>
      <c r="X53" s="12" t="s">
        <v>424</v>
      </c>
      <c r="Y53" s="12" t="s">
        <v>428</v>
      </c>
      <c r="Z53" s="12" t="n">
        <v>1</v>
      </c>
      <c r="AA53" s="12" t="n">
        <v>0</v>
      </c>
      <c r="AB53" s="12" t="n">
        <v>0</v>
      </c>
      <c r="AC53" s="12" t="n">
        <v>1</v>
      </c>
      <c r="AD53" s="12" t="n">
        <v>0</v>
      </c>
      <c r="AE53" s="12" t="n">
        <v>0</v>
      </c>
      <c r="AF53" s="12" t="n">
        <v>0</v>
      </c>
      <c r="AG53" s="12" t="n">
        <v>0</v>
      </c>
      <c r="AH53" s="12" t="n">
        <v>1</v>
      </c>
      <c r="AI53" s="12" t="n">
        <v>0</v>
      </c>
      <c r="AJ53" s="12" t="n">
        <v>0</v>
      </c>
      <c r="AK53" s="12" t="n">
        <v>0</v>
      </c>
      <c r="AL53" s="12" t="n">
        <v>0</v>
      </c>
      <c r="AM53" s="12" t="n">
        <v>1</v>
      </c>
      <c r="AN53" s="12" t="n">
        <v>1</v>
      </c>
      <c r="AO53" s="12" t="n">
        <v>0</v>
      </c>
      <c r="AP53" s="12" t="n">
        <v>1</v>
      </c>
      <c r="AQ53" s="12" t="n">
        <v>0</v>
      </c>
      <c r="AR53" s="12" t="n">
        <v>0</v>
      </c>
      <c r="AS53" s="12" t="n">
        <v>0</v>
      </c>
      <c r="AT53" s="12" t="s">
        <v>480</v>
      </c>
      <c r="AU53" s="12" t="s">
        <v>398</v>
      </c>
      <c r="AV53" s="12" t="n">
        <v>0</v>
      </c>
      <c r="AW53" s="12" t="n">
        <v>1</v>
      </c>
      <c r="AX53" s="12" t="n">
        <v>0</v>
      </c>
      <c r="AY53" s="12" t="n">
        <v>1</v>
      </c>
      <c r="AZ53" s="12" t="n">
        <v>0</v>
      </c>
      <c r="BA53" s="12" t="n">
        <v>0</v>
      </c>
      <c r="BB53" s="12" t="n">
        <v>5</v>
      </c>
      <c r="BC53" s="12" t="n">
        <v>2</v>
      </c>
      <c r="BD53" s="12" t="n">
        <v>3</v>
      </c>
      <c r="BE53" s="12" t="n">
        <v>5</v>
      </c>
      <c r="BF53" s="12" t="n">
        <v>5</v>
      </c>
      <c r="BG53" s="12" t="n">
        <v>4</v>
      </c>
      <c r="BH53" s="12" t="n">
        <v>3</v>
      </c>
      <c r="BI53" s="12" t="n">
        <v>5</v>
      </c>
      <c r="BJ53" s="12" t="n">
        <v>6</v>
      </c>
      <c r="BK53" s="12" t="n">
        <v>4</v>
      </c>
      <c r="BL53" s="12" t="n">
        <v>5</v>
      </c>
      <c r="BM53" s="12" t="n">
        <v>4</v>
      </c>
      <c r="BN53" s="12" t="n">
        <v>3</v>
      </c>
      <c r="BO53" s="12" t="n">
        <v>2</v>
      </c>
      <c r="BP53" s="12" t="n">
        <v>1</v>
      </c>
      <c r="BQ53" s="12" t="n">
        <v>4</v>
      </c>
      <c r="BR53" s="12" t="n">
        <v>5</v>
      </c>
      <c r="BS53" s="12" t="n">
        <v>6</v>
      </c>
      <c r="BT53" s="12" t="s">
        <v>817</v>
      </c>
      <c r="BU53" s="12" t="s">
        <v>674</v>
      </c>
      <c r="BV53" s="12"/>
      <c r="BW53" s="16" t="n">
        <f aca="false">IF($R53="","",INDEX(Codes!$E$2:$E$108,MATCH("B1|"&amp;$R53,Codes!$A$2:$A$108,0)))</f>
        <v>6</v>
      </c>
      <c r="BX53" s="16" t="n">
        <f aca="false">IF($Y53="","",INDEX(Codes!$E$2:$E$108,MATCH("B4|"&amp;$Y53,Codes!$A$2:$A$108,0)))</f>
        <v>1</v>
      </c>
      <c r="BY53" s="16" t="n">
        <f aca="false">IF($I53="","",INDEX(Codes!$E$2:$E$108,MATCH("A7|"&amp;$I53,Codes!$A$2:$A$108,0)))</f>
        <v>0</v>
      </c>
      <c r="BZ53" s="16" t="n">
        <f aca="false">IF($AU53="","",INDEX(Codes!$E$2:$E$108,MATCH("B8|"&amp;$AU53,Codes!$A$2:$A$108,0)))</f>
        <v>3</v>
      </c>
      <c r="CA53" s="16" t="n">
        <f aca="false">IF($H53="","",INDEX(Codes!$E$2:$E$108,MATCH("A6|"&amp;$H53,Codes!$A$2:$A$108,0)))</f>
        <v>4</v>
      </c>
      <c r="CB53" s="16" t="n">
        <f aca="false">IF($X53="","",IF($X53="phone",1,0))</f>
        <v>1</v>
      </c>
      <c r="CC53" s="16" t="n">
        <f aca="false">IF($BC53="","",8-$BC53)</f>
        <v>6</v>
      </c>
      <c r="CD53" s="12" t="s">
        <v>643</v>
      </c>
      <c r="CE53" s="12" t="n">
        <v>-2.946</v>
      </c>
      <c r="CF53" s="12" t="n">
        <v>-1.054</v>
      </c>
    </row>
    <row r="54" customFormat="false" ht="15" hidden="false" customHeight="false" outlineLevel="0" collapsed="false">
      <c r="A54" s="12" t="s">
        <v>818</v>
      </c>
      <c r="B54" s="12" t="s">
        <v>819</v>
      </c>
      <c r="C54" s="12" t="s">
        <v>286</v>
      </c>
      <c r="D54" s="12" t="s">
        <v>295</v>
      </c>
      <c r="E54" s="12" t="s">
        <v>305</v>
      </c>
      <c r="F54" s="12" t="s">
        <v>321</v>
      </c>
      <c r="G54" s="12" t="s">
        <v>333</v>
      </c>
      <c r="H54" s="12" t="s">
        <v>345</v>
      </c>
      <c r="I54" s="12" t="s">
        <v>362</v>
      </c>
      <c r="J54" s="12" t="n">
        <v>1</v>
      </c>
      <c r="K54" s="12" t="n">
        <v>0</v>
      </c>
      <c r="L54" s="12" t="n">
        <v>0</v>
      </c>
      <c r="M54" s="12" t="n">
        <v>0</v>
      </c>
      <c r="N54" s="12" t="n">
        <v>0</v>
      </c>
      <c r="O54" s="12" t="n">
        <v>0</v>
      </c>
      <c r="P54" s="12" t="n">
        <v>0</v>
      </c>
      <c r="Q54" s="12" t="n">
        <v>3</v>
      </c>
      <c r="R54" s="12" t="s">
        <v>395</v>
      </c>
      <c r="S54" s="12" t="n">
        <v>1</v>
      </c>
      <c r="T54" s="12" t="n">
        <v>1</v>
      </c>
      <c r="U54" s="12" t="n">
        <v>0</v>
      </c>
      <c r="V54" s="12" t="n">
        <v>0</v>
      </c>
      <c r="W54" s="12" t="n">
        <v>0</v>
      </c>
      <c r="X54" s="12" t="s">
        <v>410</v>
      </c>
      <c r="Y54" s="12" t="s">
        <v>434</v>
      </c>
      <c r="Z54" s="12" t="n">
        <v>1</v>
      </c>
      <c r="AA54" s="12" t="n">
        <v>1</v>
      </c>
      <c r="AB54" s="12" t="n">
        <v>0</v>
      </c>
      <c r="AC54" s="12" t="n">
        <v>1</v>
      </c>
      <c r="AD54" s="12" t="n">
        <v>1</v>
      </c>
      <c r="AE54" s="12" t="n">
        <v>1</v>
      </c>
      <c r="AF54" s="12" t="n">
        <v>0</v>
      </c>
      <c r="AG54" s="12" t="n">
        <v>0</v>
      </c>
      <c r="AH54" s="12" t="n">
        <v>0</v>
      </c>
      <c r="AI54" s="12" t="n">
        <v>0</v>
      </c>
      <c r="AJ54" s="12" t="n">
        <v>0</v>
      </c>
      <c r="AK54" s="12" t="n">
        <v>0</v>
      </c>
      <c r="AL54" s="12" t="n">
        <v>0</v>
      </c>
      <c r="AM54" s="12" t="n">
        <v>1</v>
      </c>
      <c r="AN54" s="12" t="n">
        <v>0</v>
      </c>
      <c r="AO54" s="12" t="n">
        <v>0</v>
      </c>
      <c r="AP54" s="12" t="n">
        <v>0</v>
      </c>
      <c r="AQ54" s="12" t="n">
        <v>1</v>
      </c>
      <c r="AR54" s="12" t="n">
        <v>1</v>
      </c>
      <c r="AS54" s="12" t="n">
        <v>0</v>
      </c>
      <c r="AT54" s="12" t="s">
        <v>480</v>
      </c>
      <c r="AU54" s="12" t="s">
        <v>395</v>
      </c>
      <c r="AV54" s="12" t="n">
        <v>1</v>
      </c>
      <c r="AW54" s="12" t="n">
        <v>0</v>
      </c>
      <c r="AX54" s="12" t="n">
        <v>0</v>
      </c>
      <c r="AY54" s="12" t="n">
        <v>0</v>
      </c>
      <c r="AZ54" s="12" t="n">
        <v>1</v>
      </c>
      <c r="BA54" s="12" t="n">
        <v>0</v>
      </c>
      <c r="BB54" s="12" t="n">
        <v>4</v>
      </c>
      <c r="BC54" s="12" t="n">
        <v>4</v>
      </c>
      <c r="BD54" s="12" t="n">
        <v>2</v>
      </c>
      <c r="BE54" s="12" t="n">
        <v>7</v>
      </c>
      <c r="BF54" s="12" t="n">
        <v>5</v>
      </c>
      <c r="BG54" s="12" t="n">
        <v>2</v>
      </c>
      <c r="BH54" s="12" t="n">
        <v>4</v>
      </c>
      <c r="BI54" s="12" t="n">
        <v>2</v>
      </c>
      <c r="BJ54" s="12" t="n">
        <v>4</v>
      </c>
      <c r="BK54" s="12" t="n">
        <v>2</v>
      </c>
      <c r="BL54" s="12" t="n">
        <v>3</v>
      </c>
      <c r="BM54" s="12" t="n">
        <v>2</v>
      </c>
      <c r="BN54" s="12" t="n">
        <v>1</v>
      </c>
      <c r="BO54" s="12" t="n">
        <v>3</v>
      </c>
      <c r="BP54" s="12" t="n">
        <v>4</v>
      </c>
      <c r="BQ54" s="12" t="n">
        <v>2</v>
      </c>
      <c r="BR54" s="12" t="n">
        <v>5</v>
      </c>
      <c r="BS54" s="12" t="n">
        <v>6</v>
      </c>
      <c r="BT54" s="12" t="s">
        <v>820</v>
      </c>
      <c r="BU54" s="12" t="s">
        <v>821</v>
      </c>
      <c r="BV54" s="12"/>
      <c r="BW54" s="16" t="n">
        <f aca="false">IF($R54="","",INDEX(Codes!$E$2:$E$108,MATCH("B1|"&amp;$R54,Codes!$A$2:$A$108,0)))</f>
        <v>3</v>
      </c>
      <c r="BX54" s="16" t="n">
        <f aca="false">IF($Y54="","",INDEX(Codes!$E$2:$E$108,MATCH("B4|"&amp;$Y54,Codes!$A$2:$A$108,0)))</f>
        <v>3</v>
      </c>
      <c r="BY54" s="16" t="n">
        <f aca="false">IF($I54="","",INDEX(Codes!$E$2:$E$108,MATCH("A7|"&amp;$I54,Codes!$A$2:$A$108,0)))</f>
        <v>2</v>
      </c>
      <c r="BZ54" s="16" t="n">
        <f aca="false">IF($AU54="","",INDEX(Codes!$E$2:$E$108,MATCH("B8|"&amp;$AU54,Codes!$A$2:$A$108,0)))</f>
        <v>2</v>
      </c>
      <c r="CA54" s="16" t="n">
        <f aca="false">IF($H54="","",INDEX(Codes!$E$2:$E$108,MATCH("A6|"&amp;$H54,Codes!$A$2:$A$108,0)))</f>
        <v>2</v>
      </c>
      <c r="CB54" s="16" t="n">
        <f aca="false">IF($X54="","",IF($X54="phone",1,0))</f>
        <v>0</v>
      </c>
      <c r="CC54" s="16" t="n">
        <f aca="false">IF($BC54="","",8-$BC54)</f>
        <v>4</v>
      </c>
      <c r="CD54" s="12" t="s">
        <v>631</v>
      </c>
      <c r="CE54" s="12" t="n">
        <v>2.585</v>
      </c>
      <c r="CF54" s="12" t="n">
        <v>-2.523</v>
      </c>
    </row>
    <row r="55" customFormat="false" ht="15" hidden="false" customHeight="false" outlineLevel="0" collapsed="false">
      <c r="A55" s="12" t="s">
        <v>822</v>
      </c>
      <c r="B55" s="12" t="s">
        <v>823</v>
      </c>
      <c r="C55" s="12" t="s">
        <v>274</v>
      </c>
      <c r="D55" s="12" t="s">
        <v>289</v>
      </c>
      <c r="E55" s="12" t="s">
        <v>308</v>
      </c>
      <c r="F55" s="12" t="s">
        <v>321</v>
      </c>
      <c r="G55" s="12" t="s">
        <v>302</v>
      </c>
      <c r="H55" s="12" t="s">
        <v>347</v>
      </c>
      <c r="I55" s="12" t="s">
        <v>356</v>
      </c>
      <c r="J55" s="12" t="n">
        <v>1</v>
      </c>
      <c r="K55" s="12" t="n">
        <v>0</v>
      </c>
      <c r="L55" s="12" t="n">
        <v>0</v>
      </c>
      <c r="M55" s="12" t="n">
        <v>0</v>
      </c>
      <c r="N55" s="12" t="n">
        <v>0</v>
      </c>
      <c r="O55" s="12" t="n">
        <v>0</v>
      </c>
      <c r="P55" s="12" t="n">
        <v>0</v>
      </c>
      <c r="Q55" s="12" t="n">
        <v>5</v>
      </c>
      <c r="R55" s="12" t="s">
        <v>401</v>
      </c>
      <c r="S55" s="12" t="n">
        <v>1</v>
      </c>
      <c r="T55" s="12" t="n">
        <v>1</v>
      </c>
      <c r="U55" s="12" t="n">
        <v>0</v>
      </c>
      <c r="V55" s="12" t="n">
        <v>1</v>
      </c>
      <c r="W55" s="12" t="n">
        <v>0</v>
      </c>
      <c r="X55" s="12" t="s">
        <v>424</v>
      </c>
      <c r="Y55" s="12" t="s">
        <v>428</v>
      </c>
      <c r="Z55" s="12" t="n">
        <v>1</v>
      </c>
      <c r="AA55" s="12" t="n">
        <v>0</v>
      </c>
      <c r="AB55" s="12" t="n">
        <v>1</v>
      </c>
      <c r="AC55" s="12" t="n">
        <v>0</v>
      </c>
      <c r="AD55" s="12" t="n">
        <v>1</v>
      </c>
      <c r="AE55" s="12" t="n">
        <v>0</v>
      </c>
      <c r="AF55" s="12" t="n">
        <v>0</v>
      </c>
      <c r="AG55" s="12" t="n">
        <v>0</v>
      </c>
      <c r="AH55" s="12" t="n">
        <v>0</v>
      </c>
      <c r="AI55" s="12" t="n">
        <v>0</v>
      </c>
      <c r="AJ55" s="12" t="n">
        <v>0</v>
      </c>
      <c r="AK55" s="12" t="n">
        <v>0</v>
      </c>
      <c r="AL55" s="12" t="n">
        <v>1</v>
      </c>
      <c r="AM55" s="12" t="n">
        <v>0</v>
      </c>
      <c r="AN55" s="12" t="n">
        <v>1</v>
      </c>
      <c r="AO55" s="12" t="n">
        <v>1</v>
      </c>
      <c r="AP55" s="12" t="n">
        <v>1</v>
      </c>
      <c r="AQ55" s="12" t="n">
        <v>0</v>
      </c>
      <c r="AR55" s="12" t="n">
        <v>0</v>
      </c>
      <c r="AS55" s="12" t="n">
        <v>0</v>
      </c>
      <c r="AT55" s="12" t="s">
        <v>483</v>
      </c>
      <c r="AU55" s="12" t="s">
        <v>395</v>
      </c>
      <c r="AV55" s="12" t="n">
        <v>0</v>
      </c>
      <c r="AW55" s="12" t="n">
        <v>0</v>
      </c>
      <c r="AX55" s="12" t="n">
        <v>0</v>
      </c>
      <c r="AY55" s="12" t="n">
        <v>1</v>
      </c>
      <c r="AZ55" s="12" t="n">
        <v>1</v>
      </c>
      <c r="BA55" s="12" t="n">
        <v>0</v>
      </c>
      <c r="BB55" s="12" t="n">
        <v>6</v>
      </c>
      <c r="BC55" s="12" t="n">
        <v>3</v>
      </c>
      <c r="BD55" s="12" t="n">
        <v>6</v>
      </c>
      <c r="BE55" s="12" t="n">
        <v>6</v>
      </c>
      <c r="BF55" s="12" t="n">
        <v>2</v>
      </c>
      <c r="BG55" s="12" t="n">
        <v>3</v>
      </c>
      <c r="BH55" s="12" t="n">
        <v>4</v>
      </c>
      <c r="BI55" s="12" t="n">
        <v>6</v>
      </c>
      <c r="BJ55" s="12" t="n">
        <v>6</v>
      </c>
      <c r="BK55" s="12" t="n">
        <v>3</v>
      </c>
      <c r="BL55" s="12" t="n">
        <v>5</v>
      </c>
      <c r="BM55" s="12" t="n">
        <v>5</v>
      </c>
      <c r="BN55" s="12" t="n">
        <v>3</v>
      </c>
      <c r="BO55" s="12" t="n">
        <v>2</v>
      </c>
      <c r="BP55" s="12" t="n">
        <v>1</v>
      </c>
      <c r="BQ55" s="12" t="n">
        <v>5</v>
      </c>
      <c r="BR55" s="12" t="n">
        <v>4</v>
      </c>
      <c r="BS55" s="12" t="n">
        <v>6</v>
      </c>
      <c r="BT55" s="12" t="s">
        <v>824</v>
      </c>
      <c r="BU55" s="12" t="s">
        <v>693</v>
      </c>
      <c r="BV55" s="12" t="s">
        <v>747</v>
      </c>
      <c r="BW55" s="16" t="n">
        <f aca="false">IF($R55="","",INDEX(Codes!$E$2:$E$108,MATCH("B1|"&amp;$R55,Codes!$A$2:$A$108,0)))</f>
        <v>5</v>
      </c>
      <c r="BX55" s="16" t="n">
        <f aca="false">IF($Y55="","",INDEX(Codes!$E$2:$E$108,MATCH("B4|"&amp;$Y55,Codes!$A$2:$A$108,0)))</f>
        <v>1</v>
      </c>
      <c r="BY55" s="16" t="n">
        <f aca="false">IF($I55="","",INDEX(Codes!$E$2:$E$108,MATCH("A7|"&amp;$I55,Codes!$A$2:$A$108,0)))</f>
        <v>0</v>
      </c>
      <c r="BZ55" s="16" t="n">
        <f aca="false">IF($AU55="","",INDEX(Codes!$E$2:$E$108,MATCH("B8|"&amp;$AU55,Codes!$A$2:$A$108,0)))</f>
        <v>2</v>
      </c>
      <c r="CA55" s="16" t="n">
        <f aca="false">IF($H55="","",INDEX(Codes!$E$2:$E$108,MATCH("A6|"&amp;$H55,Codes!$A$2:$A$108,0)))</f>
        <v>3</v>
      </c>
      <c r="CB55" s="16" t="n">
        <f aca="false">IF($X55="","",IF($X55="phone",1,0))</f>
        <v>1</v>
      </c>
      <c r="CC55" s="16" t="n">
        <f aca="false">IF($BC55="","",8-$BC55)</f>
        <v>5</v>
      </c>
      <c r="CD55" s="12" t="s">
        <v>643</v>
      </c>
      <c r="CE55" s="12" t="n">
        <v>-3.935</v>
      </c>
      <c r="CF55" s="12" t="n">
        <v>-0.182</v>
      </c>
    </row>
    <row r="56" customFormat="false" ht="15" hidden="false" customHeight="false" outlineLevel="0" collapsed="false">
      <c r="A56" s="12" t="s">
        <v>825</v>
      </c>
      <c r="B56" s="12" t="s">
        <v>826</v>
      </c>
      <c r="C56" s="12" t="s">
        <v>280</v>
      </c>
      <c r="D56" s="12" t="s">
        <v>297</v>
      </c>
      <c r="E56" s="12" t="s">
        <v>308</v>
      </c>
      <c r="F56" s="12" t="s">
        <v>315</v>
      </c>
      <c r="G56" s="12" t="s">
        <v>333</v>
      </c>
      <c r="H56" s="12" t="s">
        <v>345</v>
      </c>
      <c r="I56" s="12" t="s">
        <v>356</v>
      </c>
      <c r="J56" s="12" t="n">
        <v>1</v>
      </c>
      <c r="K56" s="12" t="n">
        <v>0</v>
      </c>
      <c r="L56" s="12" t="n">
        <v>0</v>
      </c>
      <c r="M56" s="12" t="n">
        <v>0</v>
      </c>
      <c r="N56" s="12" t="n">
        <v>0</v>
      </c>
      <c r="O56" s="12" t="n">
        <v>0</v>
      </c>
      <c r="P56" s="12" t="n">
        <v>0</v>
      </c>
      <c r="Q56" s="12" t="n">
        <v>4</v>
      </c>
      <c r="R56" s="12" t="s">
        <v>390</v>
      </c>
      <c r="S56" s="12" t="n">
        <v>0</v>
      </c>
      <c r="T56" s="12" t="n">
        <v>1</v>
      </c>
      <c r="U56" s="12" t="n">
        <v>0</v>
      </c>
      <c r="V56" s="12" t="n">
        <v>0</v>
      </c>
      <c r="W56" s="12" t="n">
        <v>0</v>
      </c>
      <c r="X56" s="12" t="s">
        <v>410</v>
      </c>
      <c r="Y56" s="12" t="s">
        <v>434</v>
      </c>
      <c r="Z56" s="12" t="n">
        <v>1</v>
      </c>
      <c r="AA56" s="12" t="n">
        <v>0</v>
      </c>
      <c r="AB56" s="12" t="n">
        <v>0</v>
      </c>
      <c r="AC56" s="12" t="n">
        <v>1</v>
      </c>
      <c r="AD56" s="12" t="n">
        <v>0</v>
      </c>
      <c r="AE56" s="12" t="n">
        <v>0</v>
      </c>
      <c r="AF56" s="12" t="n">
        <v>0</v>
      </c>
      <c r="AG56" s="12" t="n">
        <v>0</v>
      </c>
      <c r="AH56" s="12" t="n">
        <v>0</v>
      </c>
      <c r="AI56" s="12" t="n">
        <v>0</v>
      </c>
      <c r="AJ56" s="12" t="n">
        <v>0</v>
      </c>
      <c r="AK56" s="12" t="n">
        <v>0</v>
      </c>
      <c r="AL56" s="12" t="n">
        <v>0</v>
      </c>
      <c r="AM56" s="12" t="n">
        <v>0</v>
      </c>
      <c r="AN56" s="12" t="n">
        <v>0</v>
      </c>
      <c r="AO56" s="12" t="n">
        <v>0</v>
      </c>
      <c r="AP56" s="12" t="n">
        <v>1</v>
      </c>
      <c r="AQ56" s="12" t="n">
        <v>0</v>
      </c>
      <c r="AR56" s="12" t="n">
        <v>0</v>
      </c>
      <c r="AS56" s="12" t="n">
        <v>0</v>
      </c>
      <c r="AT56" s="12" t="s">
        <v>480</v>
      </c>
      <c r="AU56" s="12" t="s">
        <v>395</v>
      </c>
      <c r="AV56" s="12" t="n">
        <v>0</v>
      </c>
      <c r="AW56" s="12" t="n">
        <v>1</v>
      </c>
      <c r="AX56" s="12" t="n">
        <v>0</v>
      </c>
      <c r="AY56" s="12" t="n">
        <v>0</v>
      </c>
      <c r="AZ56" s="12" t="n">
        <v>1</v>
      </c>
      <c r="BA56" s="12" t="n">
        <v>0</v>
      </c>
      <c r="BB56" s="12" t="n">
        <v>3</v>
      </c>
      <c r="BC56" s="12" t="n">
        <v>5</v>
      </c>
      <c r="BD56" s="12" t="n">
        <v>1</v>
      </c>
      <c r="BE56" s="12" t="n">
        <v>5</v>
      </c>
      <c r="BF56" s="12" t="n">
        <v>5</v>
      </c>
      <c r="BG56" s="12" t="n">
        <v>3</v>
      </c>
      <c r="BH56" s="12" t="n">
        <v>3</v>
      </c>
      <c r="BI56" s="12" t="n">
        <v>1</v>
      </c>
      <c r="BJ56" s="12" t="n">
        <v>4</v>
      </c>
      <c r="BK56" s="12" t="n">
        <v>2</v>
      </c>
      <c r="BL56" s="12" t="n">
        <v>2</v>
      </c>
      <c r="BM56" s="12" t="n">
        <v>1</v>
      </c>
      <c r="BN56" s="12" t="n">
        <v>1</v>
      </c>
      <c r="BO56" s="12" t="n">
        <v>4</v>
      </c>
      <c r="BP56" s="12" t="n">
        <v>2</v>
      </c>
      <c r="BQ56" s="12" t="n">
        <v>3</v>
      </c>
      <c r="BR56" s="12" t="n">
        <v>6</v>
      </c>
      <c r="BS56" s="12" t="n">
        <v>5</v>
      </c>
      <c r="BT56" s="12" t="s">
        <v>827</v>
      </c>
      <c r="BU56" s="12" t="s">
        <v>828</v>
      </c>
      <c r="BV56" s="12"/>
      <c r="BW56" s="16" t="n">
        <f aca="false">IF($R56="","",INDEX(Codes!$E$2:$E$108,MATCH("B1|"&amp;$R56,Codes!$A$2:$A$108,0)))</f>
        <v>1</v>
      </c>
      <c r="BX56" s="16" t="n">
        <f aca="false">IF($Y56="","",INDEX(Codes!$E$2:$E$108,MATCH("B4|"&amp;$Y56,Codes!$A$2:$A$108,0)))</f>
        <v>3</v>
      </c>
      <c r="BY56" s="16" t="n">
        <f aca="false">IF($I56="","",INDEX(Codes!$E$2:$E$108,MATCH("A7|"&amp;$I56,Codes!$A$2:$A$108,0)))</f>
        <v>0</v>
      </c>
      <c r="BZ56" s="16" t="n">
        <f aca="false">IF($AU56="","",INDEX(Codes!$E$2:$E$108,MATCH("B8|"&amp;$AU56,Codes!$A$2:$A$108,0)))</f>
        <v>2</v>
      </c>
      <c r="CA56" s="16" t="n">
        <f aca="false">IF($H56="","",INDEX(Codes!$E$2:$E$108,MATCH("A6|"&amp;$H56,Codes!$A$2:$A$108,0)))</f>
        <v>2</v>
      </c>
      <c r="CB56" s="16" t="n">
        <f aca="false">IF($X56="","",IF($X56="phone",1,0))</f>
        <v>0</v>
      </c>
      <c r="CC56" s="16" t="n">
        <f aca="false">IF($BC56="","",8-$BC56)</f>
        <v>3</v>
      </c>
      <c r="CD56" s="12" t="s">
        <v>631</v>
      </c>
      <c r="CE56" s="12" t="n">
        <v>3.553</v>
      </c>
      <c r="CF56" s="12" t="n">
        <v>-2.172</v>
      </c>
    </row>
    <row r="57" customFormat="false" ht="15" hidden="false" customHeight="false" outlineLevel="0" collapsed="false">
      <c r="A57" s="12" t="s">
        <v>829</v>
      </c>
      <c r="B57" s="12" t="s">
        <v>830</v>
      </c>
      <c r="C57" s="12" t="s">
        <v>280</v>
      </c>
      <c r="D57" s="12" t="s">
        <v>295</v>
      </c>
      <c r="E57" s="12" t="s">
        <v>305</v>
      </c>
      <c r="F57" s="12" t="s">
        <v>315</v>
      </c>
      <c r="G57" s="12" t="s">
        <v>333</v>
      </c>
      <c r="H57" s="12" t="s">
        <v>347</v>
      </c>
      <c r="I57" s="12" t="s">
        <v>356</v>
      </c>
      <c r="J57" s="12" t="n">
        <v>0</v>
      </c>
      <c r="K57" s="12" t="n">
        <v>0</v>
      </c>
      <c r="L57" s="12" t="n">
        <v>1</v>
      </c>
      <c r="M57" s="12" t="n">
        <v>0</v>
      </c>
      <c r="N57" s="12" t="n">
        <v>0</v>
      </c>
      <c r="O57" s="12" t="n">
        <v>0</v>
      </c>
      <c r="P57" s="12" t="n">
        <v>0</v>
      </c>
      <c r="Q57" s="12" t="n">
        <v>5</v>
      </c>
      <c r="R57" s="12" t="s">
        <v>404</v>
      </c>
      <c r="S57" s="12" t="n">
        <v>1</v>
      </c>
      <c r="T57" s="12" t="n">
        <v>0</v>
      </c>
      <c r="U57" s="12" t="n">
        <v>0</v>
      </c>
      <c r="V57" s="12" t="n">
        <v>0</v>
      </c>
      <c r="W57" s="12" t="n">
        <v>0</v>
      </c>
      <c r="X57" s="12" t="s">
        <v>410</v>
      </c>
      <c r="Y57" s="12" t="s">
        <v>440</v>
      </c>
      <c r="Z57" s="12" t="n">
        <v>1</v>
      </c>
      <c r="AA57" s="12" t="n">
        <v>1</v>
      </c>
      <c r="AB57" s="12" t="n">
        <v>1</v>
      </c>
      <c r="AC57" s="12" t="n">
        <v>1</v>
      </c>
      <c r="AD57" s="12" t="n">
        <v>1</v>
      </c>
      <c r="AE57" s="12" t="n">
        <v>1</v>
      </c>
      <c r="AF57" s="12" t="n">
        <v>0</v>
      </c>
      <c r="AG57" s="12" t="n">
        <v>0</v>
      </c>
      <c r="AH57" s="12" t="n">
        <v>1</v>
      </c>
      <c r="AI57" s="12" t="n">
        <v>0</v>
      </c>
      <c r="AJ57" s="12" t="n">
        <v>0</v>
      </c>
      <c r="AK57" s="12" t="n">
        <v>0</v>
      </c>
      <c r="AL57" s="12" t="n">
        <v>0</v>
      </c>
      <c r="AM57" s="12" t="n">
        <v>1</v>
      </c>
      <c r="AN57" s="12" t="n">
        <v>0</v>
      </c>
      <c r="AO57" s="12" t="n">
        <v>0</v>
      </c>
      <c r="AP57" s="12" t="n">
        <v>0</v>
      </c>
      <c r="AQ57" s="12" t="n">
        <v>1</v>
      </c>
      <c r="AR57" s="12" t="n">
        <v>1</v>
      </c>
      <c r="AS57" s="12" t="n">
        <v>0</v>
      </c>
      <c r="AT57" s="12" t="s">
        <v>480</v>
      </c>
      <c r="AU57" s="12" t="s">
        <v>343</v>
      </c>
      <c r="AV57" s="12" t="n">
        <v>0</v>
      </c>
      <c r="AW57" s="12" t="n">
        <v>0</v>
      </c>
      <c r="AX57" s="12" t="n">
        <v>0</v>
      </c>
      <c r="AY57" s="12" t="n">
        <v>0</v>
      </c>
      <c r="AZ57" s="12" t="n">
        <v>1</v>
      </c>
      <c r="BA57" s="12" t="n">
        <v>0</v>
      </c>
      <c r="BB57" s="12" t="n">
        <v>4</v>
      </c>
      <c r="BC57" s="12" t="n">
        <v>3</v>
      </c>
      <c r="BD57" s="12" t="n">
        <v>3</v>
      </c>
      <c r="BE57" s="12" t="n">
        <v>7</v>
      </c>
      <c r="BF57" s="12" t="n">
        <v>5</v>
      </c>
      <c r="BG57" s="12" t="n">
        <v>5</v>
      </c>
      <c r="BH57" s="12" t="n">
        <v>6</v>
      </c>
      <c r="BI57" s="12" t="n">
        <v>6</v>
      </c>
      <c r="BJ57" s="12" t="n">
        <v>5</v>
      </c>
      <c r="BK57" s="12" t="n">
        <v>3</v>
      </c>
      <c r="BL57" s="12" t="n">
        <v>2</v>
      </c>
      <c r="BM57" s="12" t="n">
        <v>4</v>
      </c>
      <c r="BN57" s="12" t="n">
        <v>2</v>
      </c>
      <c r="BO57" s="12" t="n">
        <v>4</v>
      </c>
      <c r="BP57" s="12" t="n">
        <v>1</v>
      </c>
      <c r="BQ57" s="12" t="n">
        <v>3</v>
      </c>
      <c r="BR57" s="12" t="n">
        <v>5</v>
      </c>
      <c r="BS57" s="12" t="n">
        <v>6</v>
      </c>
      <c r="BT57" s="12" t="s">
        <v>831</v>
      </c>
      <c r="BU57" s="12" t="s">
        <v>832</v>
      </c>
      <c r="BV57" s="12" t="s">
        <v>756</v>
      </c>
      <c r="BW57" s="16" t="n">
        <f aca="false">IF($R57="","",INDEX(Codes!$E$2:$E$108,MATCH("B1|"&amp;$R57,Codes!$A$2:$A$108,0)))</f>
        <v>6</v>
      </c>
      <c r="BX57" s="16" t="n">
        <f aca="false">IF($Y57="","",INDEX(Codes!$E$2:$E$108,MATCH("B4|"&amp;$Y57,Codes!$A$2:$A$108,0)))</f>
        <v>5</v>
      </c>
      <c r="BY57" s="16" t="n">
        <f aca="false">IF($I57="","",INDEX(Codes!$E$2:$E$108,MATCH("A7|"&amp;$I57,Codes!$A$2:$A$108,0)))</f>
        <v>0</v>
      </c>
      <c r="BZ57" s="16" t="n">
        <f aca="false">IF($AU57="","",INDEX(Codes!$E$2:$E$108,MATCH("B8|"&amp;$AU57,Codes!$A$2:$A$108,0)))</f>
        <v>1</v>
      </c>
      <c r="CA57" s="16" t="n">
        <f aca="false">IF($H57="","",INDEX(Codes!$E$2:$E$108,MATCH("A6|"&amp;$H57,Codes!$A$2:$A$108,0)))</f>
        <v>3</v>
      </c>
      <c r="CB57" s="16" t="n">
        <f aca="false">IF($X57="","",IF($X57="phone",1,0))</f>
        <v>0</v>
      </c>
      <c r="CC57" s="16" t="n">
        <f aca="false">IF($BC57="","",8-$BC57)</f>
        <v>5</v>
      </c>
      <c r="CD57" s="12" t="s">
        <v>614</v>
      </c>
      <c r="CE57" s="12" t="n">
        <v>-0.282</v>
      </c>
      <c r="CF57" s="12" t="n">
        <v>1.574</v>
      </c>
    </row>
    <row r="58" customFormat="false" ht="15" hidden="false" customHeight="false" outlineLevel="0" collapsed="false">
      <c r="A58" s="12" t="s">
        <v>833</v>
      </c>
      <c r="B58" s="12" t="s">
        <v>834</v>
      </c>
      <c r="C58" s="12" t="s">
        <v>277</v>
      </c>
      <c r="D58" s="12" t="s">
        <v>291</v>
      </c>
      <c r="E58" s="12" t="s">
        <v>305</v>
      </c>
      <c r="F58" s="12" t="s">
        <v>318</v>
      </c>
      <c r="G58" s="12" t="s">
        <v>336</v>
      </c>
      <c r="H58" s="12" t="s">
        <v>345</v>
      </c>
      <c r="I58" s="12" t="s">
        <v>359</v>
      </c>
      <c r="J58" s="12" t="n">
        <v>1</v>
      </c>
      <c r="K58" s="12" t="n">
        <v>0</v>
      </c>
      <c r="L58" s="12" t="n">
        <v>0</v>
      </c>
      <c r="M58" s="12" t="n">
        <v>0</v>
      </c>
      <c r="N58" s="12" t="n">
        <v>0</v>
      </c>
      <c r="O58" s="12" t="n">
        <v>0</v>
      </c>
      <c r="P58" s="12" t="n">
        <v>0</v>
      </c>
      <c r="Q58" s="12" t="n">
        <v>7</v>
      </c>
      <c r="R58" s="12" t="s">
        <v>398</v>
      </c>
      <c r="S58" s="12" t="n">
        <v>1</v>
      </c>
      <c r="T58" s="12" t="n">
        <v>0</v>
      </c>
      <c r="U58" s="12" t="n">
        <v>0</v>
      </c>
      <c r="V58" s="12" t="n">
        <v>0</v>
      </c>
      <c r="W58" s="12" t="n">
        <v>0</v>
      </c>
      <c r="X58" s="12" t="s">
        <v>419</v>
      </c>
      <c r="Y58" s="12" t="s">
        <v>434</v>
      </c>
      <c r="Z58" s="12" t="n">
        <v>1</v>
      </c>
      <c r="AA58" s="12" t="n">
        <v>1</v>
      </c>
      <c r="AB58" s="12" t="n">
        <v>1</v>
      </c>
      <c r="AC58" s="12" t="n">
        <v>1</v>
      </c>
      <c r="AD58" s="12" t="n">
        <v>0</v>
      </c>
      <c r="AE58" s="12" t="n">
        <v>0</v>
      </c>
      <c r="AF58" s="12" t="n">
        <v>1</v>
      </c>
      <c r="AG58" s="12" t="n">
        <v>0</v>
      </c>
      <c r="AH58" s="12" t="n">
        <v>1</v>
      </c>
      <c r="AI58" s="12" t="n">
        <v>0</v>
      </c>
      <c r="AJ58" s="12" t="n">
        <v>1</v>
      </c>
      <c r="AK58" s="12" t="n">
        <v>0</v>
      </c>
      <c r="AL58" s="12" t="n">
        <v>0</v>
      </c>
      <c r="AM58" s="12" t="n">
        <v>0</v>
      </c>
      <c r="AN58" s="12" t="n">
        <v>0</v>
      </c>
      <c r="AO58" s="12" t="n">
        <v>0</v>
      </c>
      <c r="AP58" s="12" t="n">
        <v>1</v>
      </c>
      <c r="AQ58" s="12" t="n">
        <v>0</v>
      </c>
      <c r="AR58" s="12" t="n">
        <v>0</v>
      </c>
      <c r="AS58" s="12" t="n">
        <v>0</v>
      </c>
      <c r="AT58" s="12" t="s">
        <v>480</v>
      </c>
      <c r="AU58" s="12" t="s">
        <v>395</v>
      </c>
      <c r="AV58" s="12" t="n">
        <v>1</v>
      </c>
      <c r="AW58" s="12" t="n">
        <v>1</v>
      </c>
      <c r="AX58" s="12" t="n">
        <v>1</v>
      </c>
      <c r="AY58" s="12" t="n">
        <v>1</v>
      </c>
      <c r="AZ58" s="12" t="n">
        <v>0</v>
      </c>
      <c r="BA58" s="12" t="n">
        <v>0</v>
      </c>
      <c r="BB58" s="12" t="n">
        <v>2</v>
      </c>
      <c r="BC58" s="12" t="n">
        <v>6</v>
      </c>
      <c r="BD58" s="12" t="n">
        <v>4</v>
      </c>
      <c r="BE58" s="12" t="n">
        <v>6</v>
      </c>
      <c r="BF58" s="12" t="n">
        <v>4</v>
      </c>
      <c r="BG58" s="12" t="n">
        <v>5</v>
      </c>
      <c r="BH58" s="12" t="n">
        <v>5</v>
      </c>
      <c r="BI58" s="12" t="n">
        <v>7</v>
      </c>
      <c r="BJ58" s="12" t="n">
        <v>6</v>
      </c>
      <c r="BK58" s="12" t="n">
        <v>3</v>
      </c>
      <c r="BL58" s="12" t="n">
        <v>2</v>
      </c>
      <c r="BM58" s="12" t="n">
        <v>4</v>
      </c>
      <c r="BN58" s="12" t="n">
        <v>2</v>
      </c>
      <c r="BO58" s="12" t="n">
        <v>3</v>
      </c>
      <c r="BP58" s="12" t="n">
        <v>4</v>
      </c>
      <c r="BQ58" s="12" t="n">
        <v>5</v>
      </c>
      <c r="BR58" s="12" t="n">
        <v>1</v>
      </c>
      <c r="BS58" s="12" t="n">
        <v>6</v>
      </c>
      <c r="BT58" s="12" t="s">
        <v>835</v>
      </c>
      <c r="BU58" s="12" t="s">
        <v>781</v>
      </c>
      <c r="BV58" s="12"/>
      <c r="BW58" s="16" t="n">
        <f aca="false">IF($R58="","",INDEX(Codes!$E$2:$E$108,MATCH("B1|"&amp;$R58,Codes!$A$2:$A$108,0)))</f>
        <v>4</v>
      </c>
      <c r="BX58" s="16" t="n">
        <f aca="false">IF($Y58="","",INDEX(Codes!$E$2:$E$108,MATCH("B4|"&amp;$Y58,Codes!$A$2:$A$108,0)))</f>
        <v>3</v>
      </c>
      <c r="BY58" s="16" t="n">
        <f aca="false">IF($I58="","",INDEX(Codes!$E$2:$E$108,MATCH("A7|"&amp;$I58,Codes!$A$2:$A$108,0)))</f>
        <v>1</v>
      </c>
      <c r="BZ58" s="16" t="n">
        <f aca="false">IF($AU58="","",INDEX(Codes!$E$2:$E$108,MATCH("B8|"&amp;$AU58,Codes!$A$2:$A$108,0)))</f>
        <v>2</v>
      </c>
      <c r="CA58" s="16" t="n">
        <f aca="false">IF($H58="","",INDEX(Codes!$E$2:$E$108,MATCH("A6|"&amp;$H58,Codes!$A$2:$A$108,0)))</f>
        <v>2</v>
      </c>
      <c r="CB58" s="16" t="n">
        <f aca="false">IF($X58="","",IF($X58="phone",1,0))</f>
        <v>0</v>
      </c>
      <c r="CC58" s="16" t="n">
        <f aca="false">IF($BC58="","",8-$BC58)</f>
        <v>2</v>
      </c>
      <c r="CD58" s="12" t="s">
        <v>620</v>
      </c>
      <c r="CE58" s="12" t="n">
        <v>1.182</v>
      </c>
      <c r="CF58" s="12" t="n">
        <v>1.342</v>
      </c>
    </row>
    <row r="59" customFormat="false" ht="15" hidden="false" customHeight="false" outlineLevel="0" collapsed="false">
      <c r="A59" s="12" t="s">
        <v>836</v>
      </c>
      <c r="B59" s="12" t="s">
        <v>837</v>
      </c>
      <c r="C59" s="12" t="s">
        <v>271</v>
      </c>
      <c r="D59" s="12" t="s">
        <v>293</v>
      </c>
      <c r="E59" s="12" t="s">
        <v>305</v>
      </c>
      <c r="F59" s="12" t="s">
        <v>318</v>
      </c>
      <c r="G59" s="12" t="s">
        <v>333</v>
      </c>
      <c r="H59" s="12" t="s">
        <v>353</v>
      </c>
      <c r="I59" s="12" t="s">
        <v>368</v>
      </c>
      <c r="J59" s="12" t="n">
        <v>1</v>
      </c>
      <c r="K59" s="12" t="n">
        <v>0</v>
      </c>
      <c r="L59" s="12" t="n">
        <v>0</v>
      </c>
      <c r="M59" s="12" t="n">
        <v>0</v>
      </c>
      <c r="N59" s="12" t="n">
        <v>0</v>
      </c>
      <c r="O59" s="12" t="n">
        <v>0</v>
      </c>
      <c r="P59" s="12" t="n">
        <v>0</v>
      </c>
      <c r="Q59" s="12" t="n">
        <v>5</v>
      </c>
      <c r="R59" s="12" t="s">
        <v>401</v>
      </c>
      <c r="S59" s="12" t="n">
        <v>1</v>
      </c>
      <c r="T59" s="12" t="n">
        <v>0</v>
      </c>
      <c r="U59" s="12" t="n">
        <v>0</v>
      </c>
      <c r="V59" s="12" t="n">
        <v>0</v>
      </c>
      <c r="W59" s="12" t="n">
        <v>0</v>
      </c>
      <c r="X59" s="12" t="s">
        <v>424</v>
      </c>
      <c r="Y59" s="12" t="s">
        <v>431</v>
      </c>
      <c r="Z59" s="12" t="n">
        <v>0</v>
      </c>
      <c r="AA59" s="12" t="n">
        <v>1</v>
      </c>
      <c r="AB59" s="12" t="n">
        <v>0</v>
      </c>
      <c r="AC59" s="12" t="n">
        <v>1</v>
      </c>
      <c r="AD59" s="12" t="n">
        <v>0</v>
      </c>
      <c r="AE59" s="12" t="n">
        <v>0</v>
      </c>
      <c r="AF59" s="12" t="n">
        <v>1</v>
      </c>
      <c r="AG59" s="12" t="n">
        <v>0</v>
      </c>
      <c r="AH59" s="12" t="n">
        <v>1</v>
      </c>
      <c r="AI59" s="12" t="n">
        <v>1</v>
      </c>
      <c r="AJ59" s="12" t="n">
        <v>0</v>
      </c>
      <c r="AK59" s="12" t="n">
        <v>0</v>
      </c>
      <c r="AL59" s="12" t="n">
        <v>0</v>
      </c>
      <c r="AM59" s="12" t="n">
        <v>1</v>
      </c>
      <c r="AN59" s="12" t="n">
        <v>0</v>
      </c>
      <c r="AO59" s="12" t="n">
        <v>0</v>
      </c>
      <c r="AP59" s="12" t="n">
        <v>1</v>
      </c>
      <c r="AQ59" s="12" t="n">
        <v>0</v>
      </c>
      <c r="AR59" s="12" t="n">
        <v>1</v>
      </c>
      <c r="AS59" s="12" t="n">
        <v>0</v>
      </c>
      <c r="AT59" s="12" t="s">
        <v>480</v>
      </c>
      <c r="AU59" s="12" t="s">
        <v>398</v>
      </c>
      <c r="AV59" s="12" t="n">
        <v>0</v>
      </c>
      <c r="AW59" s="12" t="n">
        <v>1</v>
      </c>
      <c r="AX59" s="12" t="n">
        <v>0</v>
      </c>
      <c r="AY59" s="12" t="n">
        <v>0</v>
      </c>
      <c r="AZ59" s="12" t="n">
        <v>1</v>
      </c>
      <c r="BA59" s="12" t="n">
        <v>0</v>
      </c>
      <c r="BB59" s="12" t="n">
        <v>4</v>
      </c>
      <c r="BC59" s="12" t="n">
        <v>4</v>
      </c>
      <c r="BD59" s="12" t="n">
        <v>4</v>
      </c>
      <c r="BE59" s="12" t="n">
        <v>7</v>
      </c>
      <c r="BF59" s="12" t="n">
        <v>4</v>
      </c>
      <c r="BG59" s="12" t="n">
        <v>2</v>
      </c>
      <c r="BH59" s="12" t="n">
        <v>4</v>
      </c>
      <c r="BI59" s="12" t="n">
        <v>4</v>
      </c>
      <c r="BJ59" s="12" t="n">
        <v>5</v>
      </c>
      <c r="BK59" s="12" t="n">
        <v>2</v>
      </c>
      <c r="BL59" s="12" t="n">
        <v>3</v>
      </c>
      <c r="BM59" s="12" t="n">
        <v>4</v>
      </c>
      <c r="BN59" s="12" t="n">
        <v>3</v>
      </c>
      <c r="BO59" s="12" t="n">
        <v>1</v>
      </c>
      <c r="BP59" s="12" t="n">
        <v>4</v>
      </c>
      <c r="BQ59" s="12" t="n">
        <v>5</v>
      </c>
      <c r="BR59" s="12" t="n">
        <v>2</v>
      </c>
      <c r="BS59" s="12" t="n">
        <v>6</v>
      </c>
      <c r="BT59" s="12" t="s">
        <v>838</v>
      </c>
      <c r="BU59" s="12" t="s">
        <v>839</v>
      </c>
      <c r="BV59" s="12"/>
      <c r="BW59" s="16" t="n">
        <f aca="false">IF($R59="","",INDEX(Codes!$E$2:$E$108,MATCH("B1|"&amp;$R59,Codes!$A$2:$A$108,0)))</f>
        <v>5</v>
      </c>
      <c r="BX59" s="16" t="n">
        <f aca="false">IF($Y59="","",INDEX(Codes!$E$2:$E$108,MATCH("B4|"&amp;$Y59,Codes!$A$2:$A$108,0)))</f>
        <v>2</v>
      </c>
      <c r="BY59" s="16" t="n">
        <f aca="false">IF($I59="","",INDEX(Codes!$E$2:$E$108,MATCH("A7|"&amp;$I59,Codes!$A$2:$A$108,0)))</f>
        <v>4</v>
      </c>
      <c r="BZ59" s="16" t="n">
        <f aca="false">IF($AU59="","",INDEX(Codes!$E$2:$E$108,MATCH("B8|"&amp;$AU59,Codes!$A$2:$A$108,0)))</f>
        <v>3</v>
      </c>
      <c r="CA59" s="16" t="n">
        <f aca="false">IF($H59="","",INDEX(Codes!$E$2:$E$108,MATCH("A6|"&amp;$H59,Codes!$A$2:$A$108,0)))</f>
        <v>6</v>
      </c>
      <c r="CB59" s="16" t="n">
        <f aca="false">IF($X59="","",IF($X59="phone",1,0))</f>
        <v>1</v>
      </c>
      <c r="CC59" s="16" t="n">
        <f aca="false">IF($BC59="","",8-$BC59)</f>
        <v>4</v>
      </c>
      <c r="CD59" s="12" t="s">
        <v>648</v>
      </c>
      <c r="CE59" s="12" t="n">
        <v>-0.339</v>
      </c>
      <c r="CF59" s="12" t="n">
        <v>-2.286</v>
      </c>
    </row>
    <row r="60" customFormat="false" ht="15" hidden="false" customHeight="false" outlineLevel="0" collapsed="false">
      <c r="A60" s="12" t="s">
        <v>840</v>
      </c>
      <c r="B60" s="12" t="s">
        <v>841</v>
      </c>
      <c r="C60" s="12" t="s">
        <v>274</v>
      </c>
      <c r="D60" s="12" t="s">
        <v>295</v>
      </c>
      <c r="E60" s="12" t="s">
        <v>305</v>
      </c>
      <c r="F60" s="12" t="s">
        <v>315</v>
      </c>
      <c r="G60" s="12" t="s">
        <v>333</v>
      </c>
      <c r="H60" s="12" t="s">
        <v>345</v>
      </c>
      <c r="I60" s="12" t="s">
        <v>365</v>
      </c>
      <c r="J60" s="12" t="n">
        <v>1</v>
      </c>
      <c r="K60" s="12" t="n">
        <v>0</v>
      </c>
      <c r="L60" s="12" t="n">
        <v>0</v>
      </c>
      <c r="M60" s="12" t="n">
        <v>0</v>
      </c>
      <c r="N60" s="12" t="n">
        <v>0</v>
      </c>
      <c r="O60" s="12" t="n">
        <v>0</v>
      </c>
      <c r="P60" s="12" t="n">
        <v>0</v>
      </c>
      <c r="Q60" s="12" t="n">
        <v>2</v>
      </c>
      <c r="R60" s="12" t="s">
        <v>398</v>
      </c>
      <c r="S60" s="12" t="n">
        <v>1</v>
      </c>
      <c r="T60" s="12" t="n">
        <v>0</v>
      </c>
      <c r="U60" s="12" t="n">
        <v>1</v>
      </c>
      <c r="V60" s="12" t="n">
        <v>0</v>
      </c>
      <c r="W60" s="12" t="n">
        <v>0</v>
      </c>
      <c r="X60" s="12" t="s">
        <v>407</v>
      </c>
      <c r="Y60" s="12" t="s">
        <v>434</v>
      </c>
      <c r="Z60" s="12" t="n">
        <v>0</v>
      </c>
      <c r="AA60" s="12" t="n">
        <v>0</v>
      </c>
      <c r="AB60" s="12" t="n">
        <v>1</v>
      </c>
      <c r="AC60" s="12" t="n">
        <v>1</v>
      </c>
      <c r="AD60" s="12" t="n">
        <v>0</v>
      </c>
      <c r="AE60" s="12" t="n">
        <v>0</v>
      </c>
      <c r="AF60" s="12" t="n">
        <v>0</v>
      </c>
      <c r="AG60" s="12" t="n">
        <v>0</v>
      </c>
      <c r="AH60" s="12" t="n">
        <v>1</v>
      </c>
      <c r="AI60" s="12" t="n">
        <v>0</v>
      </c>
      <c r="AJ60" s="12" t="n">
        <v>0</v>
      </c>
      <c r="AK60" s="12" t="n">
        <v>0</v>
      </c>
      <c r="AL60" s="12" t="n">
        <v>0</v>
      </c>
      <c r="AM60" s="12" t="n">
        <v>1</v>
      </c>
      <c r="AN60" s="12" t="n">
        <v>0</v>
      </c>
      <c r="AO60" s="12" t="n">
        <v>1</v>
      </c>
      <c r="AP60" s="12" t="n">
        <v>0</v>
      </c>
      <c r="AQ60" s="12" t="n">
        <v>0</v>
      </c>
      <c r="AR60" s="12" t="n">
        <v>0</v>
      </c>
      <c r="AS60" s="12" t="n">
        <v>1</v>
      </c>
      <c r="AT60" s="12" t="s">
        <v>480</v>
      </c>
      <c r="AU60" s="12" t="s">
        <v>343</v>
      </c>
      <c r="AV60" s="12" t="n">
        <v>0</v>
      </c>
      <c r="AW60" s="12" t="n">
        <v>1</v>
      </c>
      <c r="AX60" s="12" t="n">
        <v>1</v>
      </c>
      <c r="AY60" s="12" t="n">
        <v>1</v>
      </c>
      <c r="AZ60" s="12" t="n">
        <v>1</v>
      </c>
      <c r="BA60" s="12" t="n">
        <v>0</v>
      </c>
      <c r="BB60" s="12" t="n">
        <v>3</v>
      </c>
      <c r="BC60" s="12" t="n">
        <v>6</v>
      </c>
      <c r="BD60" s="12" t="n">
        <v>4</v>
      </c>
      <c r="BE60" s="12" t="n">
        <v>5</v>
      </c>
      <c r="BF60" s="12" t="n">
        <v>3</v>
      </c>
      <c r="BG60" s="12" t="n">
        <v>3</v>
      </c>
      <c r="BH60" s="12" t="n">
        <v>3</v>
      </c>
      <c r="BI60" s="12" t="n">
        <v>5</v>
      </c>
      <c r="BJ60" s="12" t="n">
        <v>6</v>
      </c>
      <c r="BK60" s="12" t="n">
        <v>3</v>
      </c>
      <c r="BL60" s="12" t="n">
        <v>3</v>
      </c>
      <c r="BM60" s="12" t="n">
        <v>2</v>
      </c>
      <c r="BN60" s="12" t="n">
        <v>3</v>
      </c>
      <c r="BO60" s="12" t="n">
        <v>1</v>
      </c>
      <c r="BP60" s="12" t="n">
        <v>5</v>
      </c>
      <c r="BQ60" s="12" t="n">
        <v>4</v>
      </c>
      <c r="BR60" s="12" t="n">
        <v>2</v>
      </c>
      <c r="BS60" s="12" t="n">
        <v>6</v>
      </c>
      <c r="BT60" s="12" t="s">
        <v>842</v>
      </c>
      <c r="BU60" s="12" t="s">
        <v>843</v>
      </c>
      <c r="BV60" s="12"/>
      <c r="BW60" s="16" t="n">
        <f aca="false">IF($R60="","",INDEX(Codes!$E$2:$E$108,MATCH("B1|"&amp;$R60,Codes!$A$2:$A$108,0)))</f>
        <v>4</v>
      </c>
      <c r="BX60" s="16" t="n">
        <f aca="false">IF($Y60="","",INDEX(Codes!$E$2:$E$108,MATCH("B4|"&amp;$Y60,Codes!$A$2:$A$108,0)))</f>
        <v>3</v>
      </c>
      <c r="BY60" s="16" t="n">
        <f aca="false">IF($I60="","",INDEX(Codes!$E$2:$E$108,MATCH("A7|"&amp;$I60,Codes!$A$2:$A$108,0)))</f>
        <v>3</v>
      </c>
      <c r="BZ60" s="16" t="n">
        <f aca="false">IF($AU60="","",INDEX(Codes!$E$2:$E$108,MATCH("B8|"&amp;$AU60,Codes!$A$2:$A$108,0)))</f>
        <v>1</v>
      </c>
      <c r="CA60" s="16" t="n">
        <f aca="false">IF($H60="","",INDEX(Codes!$E$2:$E$108,MATCH("A6|"&amp;$H60,Codes!$A$2:$A$108,0)))</f>
        <v>2</v>
      </c>
      <c r="CB60" s="16" t="n">
        <f aca="false">IF($X60="","",IF($X60="phone",1,0))</f>
        <v>0</v>
      </c>
      <c r="CC60" s="16" t="n">
        <f aca="false">IF($BC60="","",8-$BC60)</f>
        <v>2</v>
      </c>
      <c r="CD60" s="12" t="s">
        <v>648</v>
      </c>
      <c r="CE60" s="12" t="n">
        <v>1.342</v>
      </c>
      <c r="CF60" s="12" t="n">
        <v>-2.389</v>
      </c>
    </row>
    <row r="61" customFormat="false" ht="15" hidden="false" customHeight="false" outlineLevel="0" collapsed="false">
      <c r="A61" s="12" t="s">
        <v>844</v>
      </c>
      <c r="B61" s="12" t="s">
        <v>845</v>
      </c>
      <c r="C61" s="12" t="s">
        <v>283</v>
      </c>
      <c r="D61" s="12" t="s">
        <v>297</v>
      </c>
      <c r="E61" s="12" t="s">
        <v>308</v>
      </c>
      <c r="F61" s="12" t="s">
        <v>321</v>
      </c>
      <c r="G61" s="12" t="s">
        <v>333</v>
      </c>
      <c r="H61" s="12" t="s">
        <v>345</v>
      </c>
      <c r="I61" s="12" t="s">
        <v>359</v>
      </c>
      <c r="J61" s="12" t="n">
        <v>1</v>
      </c>
      <c r="K61" s="12" t="n">
        <v>0</v>
      </c>
      <c r="L61" s="12" t="n">
        <v>0</v>
      </c>
      <c r="M61" s="12" t="n">
        <v>0</v>
      </c>
      <c r="N61" s="12" t="n">
        <v>0</v>
      </c>
      <c r="O61" s="12" t="n">
        <v>0</v>
      </c>
      <c r="P61" s="12" t="n">
        <v>0</v>
      </c>
      <c r="Q61" s="12" t="n">
        <v>4</v>
      </c>
      <c r="R61" s="12" t="s">
        <v>401</v>
      </c>
      <c r="S61" s="12" t="n">
        <v>1</v>
      </c>
      <c r="T61" s="12" t="n">
        <v>0</v>
      </c>
      <c r="U61" s="12" t="n">
        <v>0</v>
      </c>
      <c r="V61" s="12" t="n">
        <v>0</v>
      </c>
      <c r="W61" s="12" t="n">
        <v>0</v>
      </c>
      <c r="X61" s="12" t="s">
        <v>407</v>
      </c>
      <c r="Y61" s="12" t="s">
        <v>437</v>
      </c>
      <c r="Z61" s="12" t="n">
        <v>1</v>
      </c>
      <c r="AA61" s="12" t="n">
        <v>1</v>
      </c>
      <c r="AB61" s="12" t="n">
        <v>1</v>
      </c>
      <c r="AC61" s="12" t="n">
        <v>1</v>
      </c>
      <c r="AD61" s="12" t="n">
        <v>1</v>
      </c>
      <c r="AE61" s="12" t="n">
        <v>1</v>
      </c>
      <c r="AF61" s="12" t="n">
        <v>1</v>
      </c>
      <c r="AG61" s="12" t="n">
        <v>1</v>
      </c>
      <c r="AH61" s="12" t="n">
        <v>0</v>
      </c>
      <c r="AI61" s="12" t="n">
        <v>1</v>
      </c>
      <c r="AJ61" s="12" t="n">
        <v>1</v>
      </c>
      <c r="AK61" s="12" t="n">
        <v>0</v>
      </c>
      <c r="AL61" s="12" t="n">
        <v>1</v>
      </c>
      <c r="AM61" s="12" t="n">
        <v>0</v>
      </c>
      <c r="AN61" s="12" t="n">
        <v>0</v>
      </c>
      <c r="AO61" s="12" t="n">
        <v>0</v>
      </c>
      <c r="AP61" s="12" t="n">
        <v>0</v>
      </c>
      <c r="AQ61" s="12" t="n">
        <v>0</v>
      </c>
      <c r="AR61" s="12" t="n">
        <v>0</v>
      </c>
      <c r="AS61" s="12" t="n">
        <v>0</v>
      </c>
      <c r="AT61" s="12" t="s">
        <v>480</v>
      </c>
      <c r="AU61" s="12" t="s">
        <v>395</v>
      </c>
      <c r="AV61" s="12" t="n">
        <v>0</v>
      </c>
      <c r="AW61" s="12" t="n">
        <v>1</v>
      </c>
      <c r="AX61" s="12" t="n">
        <v>0</v>
      </c>
      <c r="AY61" s="12" t="n">
        <v>0</v>
      </c>
      <c r="AZ61" s="12" t="n">
        <v>1</v>
      </c>
      <c r="BA61" s="12" t="n">
        <v>0</v>
      </c>
      <c r="BB61" s="12" t="n">
        <v>4</v>
      </c>
      <c r="BC61" s="12" t="n">
        <v>2</v>
      </c>
      <c r="BD61" s="12" t="n">
        <v>2</v>
      </c>
      <c r="BE61" s="12" t="n">
        <v>6</v>
      </c>
      <c r="BF61" s="12" t="n">
        <v>3</v>
      </c>
      <c r="BG61" s="12" t="n">
        <v>2</v>
      </c>
      <c r="BH61" s="12" t="n">
        <v>4</v>
      </c>
      <c r="BI61" s="12" t="n">
        <v>7</v>
      </c>
      <c r="BJ61" s="12" t="n">
        <v>6</v>
      </c>
      <c r="BK61" s="12" t="n">
        <v>4</v>
      </c>
      <c r="BL61" s="12" t="n">
        <v>3</v>
      </c>
      <c r="BM61" s="12" t="n">
        <v>4</v>
      </c>
      <c r="BN61" s="12" t="n">
        <v>2</v>
      </c>
      <c r="BO61" s="12" t="n">
        <v>3</v>
      </c>
      <c r="BP61" s="12" t="n">
        <v>1</v>
      </c>
      <c r="BQ61" s="12" t="n">
        <v>6</v>
      </c>
      <c r="BR61" s="12" t="n">
        <v>5</v>
      </c>
      <c r="BS61" s="12" t="n">
        <v>4</v>
      </c>
      <c r="BT61" s="12" t="s">
        <v>846</v>
      </c>
      <c r="BU61" s="12" t="s">
        <v>674</v>
      </c>
      <c r="BV61" s="12"/>
      <c r="BW61" s="16" t="n">
        <f aca="false">IF($R61="","",INDEX(Codes!$E$2:$E$108,MATCH("B1|"&amp;$R61,Codes!$A$2:$A$108,0)))</f>
        <v>5</v>
      </c>
      <c r="BX61" s="16" t="n">
        <f aca="false">IF($Y61="","",INDEX(Codes!$E$2:$E$108,MATCH("B4|"&amp;$Y61,Codes!$A$2:$A$108,0)))</f>
        <v>4</v>
      </c>
      <c r="BY61" s="16" t="n">
        <f aca="false">IF($I61="","",INDEX(Codes!$E$2:$E$108,MATCH("A7|"&amp;$I61,Codes!$A$2:$A$108,0)))</f>
        <v>1</v>
      </c>
      <c r="BZ61" s="16" t="n">
        <f aca="false">IF($AU61="","",INDEX(Codes!$E$2:$E$108,MATCH("B8|"&amp;$AU61,Codes!$A$2:$A$108,0)))</f>
        <v>2</v>
      </c>
      <c r="CA61" s="16" t="n">
        <f aca="false">IF($H61="","",INDEX(Codes!$E$2:$E$108,MATCH("A6|"&amp;$H61,Codes!$A$2:$A$108,0)))</f>
        <v>2</v>
      </c>
      <c r="CB61" s="16" t="n">
        <f aca="false">IF($X61="","",IF($X61="phone",1,0))</f>
        <v>0</v>
      </c>
      <c r="CC61" s="16" t="n">
        <f aca="false">IF($BC61="","",8-$BC61)</f>
        <v>6</v>
      </c>
      <c r="CD61" s="12" t="s">
        <v>614</v>
      </c>
      <c r="CE61" s="12" t="n">
        <v>-0.791</v>
      </c>
      <c r="CF61" s="12" t="n">
        <v>1.223</v>
      </c>
    </row>
    <row r="62" customFormat="false" ht="15" hidden="false" customHeight="false" outlineLevel="0" collapsed="false">
      <c r="A62" s="12" t="s">
        <v>847</v>
      </c>
      <c r="B62" s="12" t="s">
        <v>848</v>
      </c>
      <c r="C62" s="12" t="s">
        <v>274</v>
      </c>
      <c r="D62" s="12" t="s">
        <v>297</v>
      </c>
      <c r="E62" s="12" t="s">
        <v>305</v>
      </c>
      <c r="F62" s="12" t="s">
        <v>315</v>
      </c>
      <c r="G62" s="12" t="s">
        <v>333</v>
      </c>
      <c r="H62" s="12" t="s">
        <v>347</v>
      </c>
      <c r="I62" s="12" t="s">
        <v>368</v>
      </c>
      <c r="J62" s="12" t="n">
        <v>1</v>
      </c>
      <c r="K62" s="12" t="n">
        <v>0</v>
      </c>
      <c r="L62" s="12" t="n">
        <v>0</v>
      </c>
      <c r="M62" s="12" t="n">
        <v>0</v>
      </c>
      <c r="N62" s="12" t="n">
        <v>0</v>
      </c>
      <c r="O62" s="12" t="n">
        <v>0</v>
      </c>
      <c r="P62" s="12" t="n">
        <v>0</v>
      </c>
      <c r="Q62" s="12" t="n">
        <v>4</v>
      </c>
      <c r="R62" s="12" t="s">
        <v>343</v>
      </c>
      <c r="S62" s="12" t="n">
        <v>0</v>
      </c>
      <c r="T62" s="12" t="n">
        <v>0</v>
      </c>
      <c r="U62" s="12" t="n">
        <v>1</v>
      </c>
      <c r="V62" s="12" t="n">
        <v>1</v>
      </c>
      <c r="W62" s="12" t="n">
        <v>0</v>
      </c>
      <c r="X62" s="12" t="s">
        <v>407</v>
      </c>
      <c r="Y62" s="12" t="s">
        <v>434</v>
      </c>
      <c r="Z62" s="12" t="n">
        <v>0</v>
      </c>
      <c r="AA62" s="12" t="n">
        <v>1</v>
      </c>
      <c r="AB62" s="12" t="n">
        <v>0</v>
      </c>
      <c r="AC62" s="12" t="n">
        <v>0</v>
      </c>
      <c r="AD62" s="12" t="n">
        <v>1</v>
      </c>
      <c r="AE62" s="12" t="n">
        <v>0</v>
      </c>
      <c r="AF62" s="12" t="n">
        <v>0</v>
      </c>
      <c r="AG62" s="12" t="n">
        <v>0</v>
      </c>
      <c r="AH62" s="12" t="n">
        <v>1</v>
      </c>
      <c r="AI62" s="12" t="n">
        <v>0</v>
      </c>
      <c r="AJ62" s="12" t="n">
        <v>0</v>
      </c>
      <c r="AK62" s="12" t="n">
        <v>0</v>
      </c>
      <c r="AL62" s="12" t="n">
        <v>0</v>
      </c>
      <c r="AM62" s="12" t="n">
        <v>0</v>
      </c>
      <c r="AN62" s="12" t="n">
        <v>0</v>
      </c>
      <c r="AO62" s="12" t="n">
        <v>1</v>
      </c>
      <c r="AP62" s="12" t="n">
        <v>0</v>
      </c>
      <c r="AQ62" s="12" t="n">
        <v>0</v>
      </c>
      <c r="AR62" s="12" t="n">
        <v>0</v>
      </c>
      <c r="AS62" s="12" t="n">
        <v>0</v>
      </c>
      <c r="AT62" s="12" t="s">
        <v>480</v>
      </c>
      <c r="AU62" s="12" t="s">
        <v>395</v>
      </c>
      <c r="AV62" s="12" t="n">
        <v>0</v>
      </c>
      <c r="AW62" s="12" t="n">
        <v>0</v>
      </c>
      <c r="AX62" s="12" t="n">
        <v>0</v>
      </c>
      <c r="AY62" s="12" t="n">
        <v>0</v>
      </c>
      <c r="AZ62" s="12" t="n">
        <v>1</v>
      </c>
      <c r="BA62" s="12" t="n">
        <v>0</v>
      </c>
      <c r="BB62" s="12" t="n">
        <v>4</v>
      </c>
      <c r="BC62" s="12" t="n">
        <v>5</v>
      </c>
      <c r="BD62" s="12" t="n">
        <v>4</v>
      </c>
      <c r="BE62" s="12" t="n">
        <v>5</v>
      </c>
      <c r="BF62" s="12" t="n">
        <v>3</v>
      </c>
      <c r="BG62" s="12" t="n">
        <v>5</v>
      </c>
      <c r="BH62" s="12" t="n">
        <v>4</v>
      </c>
      <c r="BI62" s="12" t="n">
        <v>3</v>
      </c>
      <c r="BJ62" s="12" t="n">
        <v>5</v>
      </c>
      <c r="BK62" s="12" t="n">
        <v>4</v>
      </c>
      <c r="BL62" s="12" t="n">
        <v>3</v>
      </c>
      <c r="BM62" s="12" t="n">
        <v>4</v>
      </c>
      <c r="BN62" s="12" t="n">
        <v>3</v>
      </c>
      <c r="BO62" s="12" t="n">
        <v>1</v>
      </c>
      <c r="BP62" s="12" t="n">
        <v>5</v>
      </c>
      <c r="BQ62" s="12" t="n">
        <v>4</v>
      </c>
      <c r="BR62" s="12" t="n">
        <v>2</v>
      </c>
      <c r="BS62" s="12" t="n">
        <v>6</v>
      </c>
      <c r="BT62" s="12" t="s">
        <v>838</v>
      </c>
      <c r="BU62" s="12" t="s">
        <v>849</v>
      </c>
      <c r="BV62" s="12" t="s">
        <v>850</v>
      </c>
      <c r="BW62" s="16" t="n">
        <f aca="false">IF($R62="","",INDEX(Codes!$E$2:$E$108,MATCH("B1|"&amp;$R62,Codes!$A$2:$A$108,0)))</f>
        <v>2</v>
      </c>
      <c r="BX62" s="16" t="n">
        <f aca="false">IF($Y62="","",INDEX(Codes!$E$2:$E$108,MATCH("B4|"&amp;$Y62,Codes!$A$2:$A$108,0)))</f>
        <v>3</v>
      </c>
      <c r="BY62" s="16" t="n">
        <f aca="false">IF($I62="","",INDEX(Codes!$E$2:$E$108,MATCH("A7|"&amp;$I62,Codes!$A$2:$A$108,0)))</f>
        <v>4</v>
      </c>
      <c r="BZ62" s="16" t="n">
        <f aca="false">IF($AU62="","",INDEX(Codes!$E$2:$E$108,MATCH("B8|"&amp;$AU62,Codes!$A$2:$A$108,0)))</f>
        <v>2</v>
      </c>
      <c r="CA62" s="16" t="n">
        <f aca="false">IF($H62="","",INDEX(Codes!$E$2:$E$108,MATCH("A6|"&amp;$H62,Codes!$A$2:$A$108,0)))</f>
        <v>3</v>
      </c>
      <c r="CB62" s="16" t="n">
        <f aca="false">IF($X62="","",IF($X62="phone",1,0))</f>
        <v>0</v>
      </c>
      <c r="CC62" s="16" t="n">
        <f aca="false">IF($BC62="","",8-$BC62)</f>
        <v>3</v>
      </c>
      <c r="CD62" s="12" t="s">
        <v>648</v>
      </c>
      <c r="CE62" s="12" t="n">
        <v>1.117</v>
      </c>
      <c r="CF62" s="12" t="n">
        <v>-2.575</v>
      </c>
    </row>
    <row r="63" customFormat="false" ht="15" hidden="false" customHeight="false" outlineLevel="0" collapsed="false">
      <c r="A63" s="12" t="s">
        <v>851</v>
      </c>
      <c r="B63" s="12" t="s">
        <v>852</v>
      </c>
      <c r="C63" s="12" t="s">
        <v>274</v>
      </c>
      <c r="D63" s="12" t="s">
        <v>295</v>
      </c>
      <c r="E63" s="12" t="s">
        <v>308</v>
      </c>
      <c r="F63" s="12" t="s">
        <v>324</v>
      </c>
      <c r="G63" s="12" t="s">
        <v>333</v>
      </c>
      <c r="H63" s="12" t="s">
        <v>347</v>
      </c>
      <c r="I63" s="12" t="s">
        <v>368</v>
      </c>
      <c r="J63" s="12" t="n">
        <v>1</v>
      </c>
      <c r="K63" s="12" t="n">
        <v>0</v>
      </c>
      <c r="L63" s="12" t="n">
        <v>0</v>
      </c>
      <c r="M63" s="12" t="n">
        <v>0</v>
      </c>
      <c r="N63" s="12" t="n">
        <v>0</v>
      </c>
      <c r="O63" s="12" t="n">
        <v>0</v>
      </c>
      <c r="P63" s="12" t="n">
        <v>0</v>
      </c>
      <c r="Q63" s="12" t="n">
        <v>5</v>
      </c>
      <c r="R63" s="12" t="s">
        <v>395</v>
      </c>
      <c r="S63" s="12" t="n">
        <v>1</v>
      </c>
      <c r="T63" s="12" t="n">
        <v>1</v>
      </c>
      <c r="U63" s="12" t="n">
        <v>1</v>
      </c>
      <c r="V63" s="12" t="n">
        <v>0</v>
      </c>
      <c r="W63" s="12" t="n">
        <v>0</v>
      </c>
      <c r="X63" s="12" t="s">
        <v>407</v>
      </c>
      <c r="Y63" s="12" t="s">
        <v>431</v>
      </c>
      <c r="Z63" s="12" t="n">
        <v>1</v>
      </c>
      <c r="AA63" s="12" t="n">
        <v>0</v>
      </c>
      <c r="AB63" s="12" t="n">
        <v>0</v>
      </c>
      <c r="AC63" s="12" t="n">
        <v>1</v>
      </c>
      <c r="AD63" s="12" t="n">
        <v>1</v>
      </c>
      <c r="AE63" s="12" t="n">
        <v>0</v>
      </c>
      <c r="AF63" s="12" t="n">
        <v>0</v>
      </c>
      <c r="AG63" s="12" t="n">
        <v>1</v>
      </c>
      <c r="AH63" s="12" t="n">
        <v>1</v>
      </c>
      <c r="AI63" s="12" t="n">
        <v>0</v>
      </c>
      <c r="AJ63" s="12" t="n">
        <v>1</v>
      </c>
      <c r="AK63" s="12" t="n">
        <v>0</v>
      </c>
      <c r="AL63" s="12" t="n">
        <v>1</v>
      </c>
      <c r="AM63" s="12" t="n">
        <v>1</v>
      </c>
      <c r="AN63" s="12" t="n">
        <v>0</v>
      </c>
      <c r="AO63" s="12" t="n">
        <v>0</v>
      </c>
      <c r="AP63" s="12" t="n">
        <v>0</v>
      </c>
      <c r="AQ63" s="12" t="n">
        <v>0</v>
      </c>
      <c r="AR63" s="12" t="n">
        <v>0</v>
      </c>
      <c r="AS63" s="12" t="n">
        <v>0</v>
      </c>
      <c r="AT63" s="12" t="s">
        <v>480</v>
      </c>
      <c r="AU63" s="12" t="s">
        <v>343</v>
      </c>
      <c r="AV63" s="12" t="n">
        <v>0</v>
      </c>
      <c r="AW63" s="12" t="n">
        <v>0</v>
      </c>
      <c r="AX63" s="12" t="n">
        <v>0</v>
      </c>
      <c r="AY63" s="12" t="n">
        <v>1</v>
      </c>
      <c r="AZ63" s="12" t="n">
        <v>1</v>
      </c>
      <c r="BA63" s="12" t="n">
        <v>0</v>
      </c>
      <c r="BB63" s="12" t="n">
        <v>3</v>
      </c>
      <c r="BC63" s="12" t="n">
        <v>7</v>
      </c>
      <c r="BD63" s="12" t="n">
        <v>3</v>
      </c>
      <c r="BE63" s="12" t="n">
        <v>5</v>
      </c>
      <c r="BF63" s="12" t="n">
        <v>5</v>
      </c>
      <c r="BG63" s="12" t="n">
        <v>3</v>
      </c>
      <c r="BH63" s="12" t="n">
        <v>4</v>
      </c>
      <c r="BI63" s="12" t="n">
        <v>5</v>
      </c>
      <c r="BJ63" s="12" t="n">
        <v>4</v>
      </c>
      <c r="BK63" s="12" t="n">
        <v>3</v>
      </c>
      <c r="BL63" s="12" t="n">
        <v>5</v>
      </c>
      <c r="BM63" s="12" t="n">
        <v>2</v>
      </c>
      <c r="BN63" s="12" t="n">
        <v>4</v>
      </c>
      <c r="BO63" s="12" t="n">
        <v>2</v>
      </c>
      <c r="BP63" s="12" t="n">
        <v>3</v>
      </c>
      <c r="BQ63" s="12" t="n">
        <v>6</v>
      </c>
      <c r="BR63" s="12" t="n">
        <v>1</v>
      </c>
      <c r="BS63" s="12" t="n">
        <v>5</v>
      </c>
      <c r="BT63" s="12" t="s">
        <v>853</v>
      </c>
      <c r="BU63" s="12" t="s">
        <v>854</v>
      </c>
      <c r="BV63" s="12"/>
      <c r="BW63" s="16" t="n">
        <f aca="false">IF($R63="","",INDEX(Codes!$E$2:$E$108,MATCH("B1|"&amp;$R63,Codes!$A$2:$A$108,0)))</f>
        <v>3</v>
      </c>
      <c r="BX63" s="16" t="n">
        <f aca="false">IF($Y63="","",INDEX(Codes!$E$2:$E$108,MATCH("B4|"&amp;$Y63,Codes!$A$2:$A$108,0)))</f>
        <v>2</v>
      </c>
      <c r="BY63" s="16" t="n">
        <f aca="false">IF($I63="","",INDEX(Codes!$E$2:$E$108,MATCH("A7|"&amp;$I63,Codes!$A$2:$A$108,0)))</f>
        <v>4</v>
      </c>
      <c r="BZ63" s="16" t="n">
        <f aca="false">IF($AU63="","",INDEX(Codes!$E$2:$E$108,MATCH("B8|"&amp;$AU63,Codes!$A$2:$A$108,0)))</f>
        <v>1</v>
      </c>
      <c r="CA63" s="16" t="n">
        <f aca="false">IF($H63="","",INDEX(Codes!$E$2:$E$108,MATCH("A6|"&amp;$H63,Codes!$A$2:$A$108,0)))</f>
        <v>3</v>
      </c>
      <c r="CB63" s="16" t="n">
        <f aca="false">IF($X63="","",IF($X63="phone",1,0))</f>
        <v>0</v>
      </c>
      <c r="CC63" s="16" t="n">
        <f aca="false">IF($BC63="","",8-$BC63)</f>
        <v>1</v>
      </c>
      <c r="CD63" s="12" t="s">
        <v>648</v>
      </c>
      <c r="CE63" s="12" t="n">
        <v>1.107</v>
      </c>
      <c r="CF63" s="12" t="n">
        <v>-1.342</v>
      </c>
    </row>
    <row r="64" customFormat="false" ht="15" hidden="false" customHeight="false" outlineLevel="0" collapsed="false">
      <c r="A64" s="12" t="s">
        <v>855</v>
      </c>
      <c r="B64" s="12" t="s">
        <v>856</v>
      </c>
      <c r="C64" s="12" t="s">
        <v>274</v>
      </c>
      <c r="D64" s="12" t="s">
        <v>293</v>
      </c>
      <c r="E64" s="12" t="s">
        <v>305</v>
      </c>
      <c r="F64" s="12" t="s">
        <v>315</v>
      </c>
      <c r="G64" s="12" t="s">
        <v>336</v>
      </c>
      <c r="H64" s="12" t="s">
        <v>345</v>
      </c>
      <c r="I64" s="12" t="s">
        <v>359</v>
      </c>
      <c r="J64" s="12" t="n">
        <v>1</v>
      </c>
      <c r="K64" s="12" t="n">
        <v>0</v>
      </c>
      <c r="L64" s="12" t="n">
        <v>0</v>
      </c>
      <c r="M64" s="12" t="n">
        <v>0</v>
      </c>
      <c r="N64" s="12" t="n">
        <v>0</v>
      </c>
      <c r="O64" s="12" t="n">
        <v>0</v>
      </c>
      <c r="P64" s="12" t="n">
        <v>0</v>
      </c>
      <c r="Q64" s="12" t="n">
        <v>7</v>
      </c>
      <c r="R64" s="12" t="s">
        <v>398</v>
      </c>
      <c r="S64" s="12" t="n">
        <v>1</v>
      </c>
      <c r="T64" s="12" t="n">
        <v>0</v>
      </c>
      <c r="U64" s="12" t="n">
        <v>0</v>
      </c>
      <c r="V64" s="12" t="n">
        <v>0</v>
      </c>
      <c r="W64" s="12" t="n">
        <v>0</v>
      </c>
      <c r="X64" s="12" t="s">
        <v>407</v>
      </c>
      <c r="Y64" s="12" t="s">
        <v>440</v>
      </c>
      <c r="Z64" s="12" t="n">
        <v>1</v>
      </c>
      <c r="AA64" s="12" t="n">
        <v>0</v>
      </c>
      <c r="AB64" s="12" t="n">
        <v>0</v>
      </c>
      <c r="AC64" s="12" t="n">
        <v>1</v>
      </c>
      <c r="AD64" s="12" t="n">
        <v>0</v>
      </c>
      <c r="AE64" s="12" t="n">
        <v>1</v>
      </c>
      <c r="AF64" s="12" t="n">
        <v>0</v>
      </c>
      <c r="AG64" s="12" t="n">
        <v>0</v>
      </c>
      <c r="AH64" s="12" t="n">
        <v>1</v>
      </c>
      <c r="AI64" s="12" t="n">
        <v>1</v>
      </c>
      <c r="AJ64" s="12" t="n">
        <v>0</v>
      </c>
      <c r="AK64" s="12" t="n">
        <v>0</v>
      </c>
      <c r="AL64" s="12" t="n">
        <v>1</v>
      </c>
      <c r="AM64" s="12" t="n">
        <v>1</v>
      </c>
      <c r="AN64" s="12" t="n">
        <v>0</v>
      </c>
      <c r="AO64" s="12" t="n">
        <v>0</v>
      </c>
      <c r="AP64" s="12" t="n">
        <v>0</v>
      </c>
      <c r="AQ64" s="12" t="n">
        <v>0</v>
      </c>
      <c r="AR64" s="12" t="n">
        <v>0</v>
      </c>
      <c r="AS64" s="12" t="n">
        <v>0</v>
      </c>
      <c r="AT64" s="12" t="s">
        <v>480</v>
      </c>
      <c r="AU64" s="12" t="s">
        <v>395</v>
      </c>
      <c r="AV64" s="12" t="n">
        <v>0</v>
      </c>
      <c r="AW64" s="12" t="n">
        <v>0</v>
      </c>
      <c r="AX64" s="12" t="n">
        <v>1</v>
      </c>
      <c r="AY64" s="12" t="n">
        <v>1</v>
      </c>
      <c r="AZ64" s="12" t="n">
        <v>0</v>
      </c>
      <c r="BA64" s="12" t="n">
        <v>0</v>
      </c>
      <c r="BB64" s="12" t="n">
        <v>3</v>
      </c>
      <c r="BC64" s="12" t="n">
        <v>5</v>
      </c>
      <c r="BD64" s="12" t="n">
        <v>6</v>
      </c>
      <c r="BE64" s="12" t="n">
        <v>4</v>
      </c>
      <c r="BF64" s="12" t="n">
        <v>3</v>
      </c>
      <c r="BG64" s="12" t="n">
        <v>3</v>
      </c>
      <c r="BH64" s="12" t="n">
        <v>5</v>
      </c>
      <c r="BI64" s="12" t="n">
        <v>6</v>
      </c>
      <c r="BJ64" s="12" t="n">
        <v>7</v>
      </c>
      <c r="BK64" s="12" t="n">
        <v>4</v>
      </c>
      <c r="BL64" s="12" t="n">
        <v>3</v>
      </c>
      <c r="BM64" s="12" t="n">
        <v>4</v>
      </c>
      <c r="BN64" s="12" t="n">
        <v>1</v>
      </c>
      <c r="BO64" s="12" t="n">
        <v>3</v>
      </c>
      <c r="BP64" s="12" t="n">
        <v>4</v>
      </c>
      <c r="BQ64" s="12" t="n">
        <v>5</v>
      </c>
      <c r="BR64" s="12" t="n">
        <v>2</v>
      </c>
      <c r="BS64" s="12" t="n">
        <v>6</v>
      </c>
      <c r="BT64" s="12" t="s">
        <v>713</v>
      </c>
      <c r="BU64" s="12" t="s">
        <v>638</v>
      </c>
      <c r="BV64" s="12"/>
      <c r="BW64" s="16" t="n">
        <f aca="false">IF($R64="","",INDEX(Codes!$E$2:$E$108,MATCH("B1|"&amp;$R64,Codes!$A$2:$A$108,0)))</f>
        <v>4</v>
      </c>
      <c r="BX64" s="16" t="n">
        <f aca="false">IF($Y64="","",INDEX(Codes!$E$2:$E$108,MATCH("B4|"&amp;$Y64,Codes!$A$2:$A$108,0)))</f>
        <v>5</v>
      </c>
      <c r="BY64" s="16" t="n">
        <f aca="false">IF($I64="","",INDEX(Codes!$E$2:$E$108,MATCH("A7|"&amp;$I64,Codes!$A$2:$A$108,0)))</f>
        <v>1</v>
      </c>
      <c r="BZ64" s="16" t="n">
        <f aca="false">IF($AU64="","",INDEX(Codes!$E$2:$E$108,MATCH("B8|"&amp;$AU64,Codes!$A$2:$A$108,0)))</f>
        <v>2</v>
      </c>
      <c r="CA64" s="16" t="n">
        <f aca="false">IF($H64="","",INDEX(Codes!$E$2:$E$108,MATCH("A6|"&amp;$H64,Codes!$A$2:$A$108,0)))</f>
        <v>2</v>
      </c>
      <c r="CB64" s="16" t="n">
        <f aca="false">IF($X64="","",IF($X64="phone",1,0))</f>
        <v>0</v>
      </c>
      <c r="CC64" s="16" t="n">
        <f aca="false">IF($BC64="","",8-$BC64)</f>
        <v>3</v>
      </c>
      <c r="CD64" s="12" t="s">
        <v>620</v>
      </c>
      <c r="CE64" s="12" t="n">
        <v>0.875</v>
      </c>
      <c r="CF64" s="12" t="n">
        <v>2.553</v>
      </c>
    </row>
    <row r="65" customFormat="false" ht="15" hidden="false" customHeight="false" outlineLevel="0" collapsed="false">
      <c r="A65" s="12" t="s">
        <v>857</v>
      </c>
      <c r="B65" s="12" t="s">
        <v>858</v>
      </c>
      <c r="C65" s="12" t="s">
        <v>280</v>
      </c>
      <c r="D65" s="12" t="s">
        <v>297</v>
      </c>
      <c r="E65" s="12" t="s">
        <v>308</v>
      </c>
      <c r="F65" s="12" t="s">
        <v>315</v>
      </c>
      <c r="G65" s="12" t="s">
        <v>339</v>
      </c>
      <c r="H65" s="12" t="s">
        <v>343</v>
      </c>
      <c r="I65" s="12" t="s">
        <v>356</v>
      </c>
      <c r="J65" s="12" t="n">
        <v>1</v>
      </c>
      <c r="K65" s="12" t="n">
        <v>0</v>
      </c>
      <c r="L65" s="12" t="n">
        <v>0</v>
      </c>
      <c r="M65" s="12" t="n">
        <v>0</v>
      </c>
      <c r="N65" s="12" t="n">
        <v>0</v>
      </c>
      <c r="O65" s="12" t="n">
        <v>0</v>
      </c>
      <c r="P65" s="12" t="n">
        <v>0</v>
      </c>
      <c r="Q65" s="12" t="n">
        <v>5</v>
      </c>
      <c r="R65" s="12" t="s">
        <v>395</v>
      </c>
      <c r="S65" s="12" t="n">
        <v>1</v>
      </c>
      <c r="T65" s="12" t="n">
        <v>0</v>
      </c>
      <c r="U65" s="12" t="n">
        <v>0</v>
      </c>
      <c r="V65" s="12" t="n">
        <v>0</v>
      </c>
      <c r="W65" s="12" t="n">
        <v>0</v>
      </c>
      <c r="X65" s="12" t="s">
        <v>407</v>
      </c>
      <c r="Y65" s="12" t="s">
        <v>437</v>
      </c>
      <c r="Z65" s="12" t="n">
        <v>0</v>
      </c>
      <c r="AA65" s="12" t="n">
        <v>0</v>
      </c>
      <c r="AB65" s="12" t="n">
        <v>0</v>
      </c>
      <c r="AC65" s="12" t="n">
        <v>1</v>
      </c>
      <c r="AD65" s="12" t="n">
        <v>0</v>
      </c>
      <c r="AE65" s="12" t="n">
        <v>0</v>
      </c>
      <c r="AF65" s="12" t="n">
        <v>0</v>
      </c>
      <c r="AG65" s="12" t="n">
        <v>1</v>
      </c>
      <c r="AH65" s="12" t="n">
        <v>0</v>
      </c>
      <c r="AI65" s="12" t="n">
        <v>0</v>
      </c>
      <c r="AJ65" s="12" t="n">
        <v>0</v>
      </c>
      <c r="AK65" s="12" t="n">
        <v>0</v>
      </c>
      <c r="AL65" s="12" t="n">
        <v>0</v>
      </c>
      <c r="AM65" s="12" t="n">
        <v>1</v>
      </c>
      <c r="AN65" s="12" t="n">
        <v>0</v>
      </c>
      <c r="AO65" s="12" t="n">
        <v>0</v>
      </c>
      <c r="AP65" s="12" t="n">
        <v>0</v>
      </c>
      <c r="AQ65" s="12" t="n">
        <v>0</v>
      </c>
      <c r="AR65" s="12" t="n">
        <v>0</v>
      </c>
      <c r="AS65" s="12" t="n">
        <v>0</v>
      </c>
      <c r="AT65" s="12" t="s">
        <v>510</v>
      </c>
      <c r="AU65" s="12" t="s">
        <v>343</v>
      </c>
      <c r="AV65" s="12" t="n">
        <v>1</v>
      </c>
      <c r="AW65" s="12" t="n">
        <v>0</v>
      </c>
      <c r="AX65" s="12" t="n">
        <v>0</v>
      </c>
      <c r="AY65" s="12" t="n">
        <v>0</v>
      </c>
      <c r="AZ65" s="12" t="n">
        <v>1</v>
      </c>
      <c r="BA65" s="12" t="n">
        <v>0</v>
      </c>
      <c r="BB65" s="12" t="n">
        <v>1</v>
      </c>
      <c r="BC65" s="12" t="n">
        <v>6</v>
      </c>
      <c r="BD65" s="12" t="n">
        <v>4</v>
      </c>
      <c r="BE65" s="12" t="n">
        <v>5</v>
      </c>
      <c r="BF65" s="12" t="n">
        <v>4</v>
      </c>
      <c r="BG65" s="12" t="n">
        <v>3</v>
      </c>
      <c r="BH65" s="12" t="n">
        <v>3</v>
      </c>
      <c r="BI65" s="12" t="n">
        <v>3</v>
      </c>
      <c r="BJ65" s="12" t="n">
        <v>7</v>
      </c>
      <c r="BK65" s="12" t="n">
        <v>2</v>
      </c>
      <c r="BL65" s="12" t="n">
        <v>2</v>
      </c>
      <c r="BM65" s="12" t="n">
        <v>3</v>
      </c>
      <c r="BN65" s="12" t="n">
        <v>1</v>
      </c>
      <c r="BO65" s="12" t="n">
        <v>3</v>
      </c>
      <c r="BP65" s="12" t="n">
        <v>4</v>
      </c>
      <c r="BQ65" s="12" t="n">
        <v>2</v>
      </c>
      <c r="BR65" s="12" t="n">
        <v>5</v>
      </c>
      <c r="BS65" s="12" t="n">
        <v>6</v>
      </c>
      <c r="BT65" s="12" t="s">
        <v>859</v>
      </c>
      <c r="BU65" s="12" t="s">
        <v>760</v>
      </c>
      <c r="BV65" s="12"/>
      <c r="BW65" s="16" t="n">
        <f aca="false">IF($R65="","",INDEX(Codes!$E$2:$E$108,MATCH("B1|"&amp;$R65,Codes!$A$2:$A$108,0)))</f>
        <v>3</v>
      </c>
      <c r="BX65" s="16" t="n">
        <f aca="false">IF($Y65="","",INDEX(Codes!$E$2:$E$108,MATCH("B4|"&amp;$Y65,Codes!$A$2:$A$108,0)))</f>
        <v>4</v>
      </c>
      <c r="BY65" s="16" t="n">
        <f aca="false">IF($I65="","",INDEX(Codes!$E$2:$E$108,MATCH("A7|"&amp;$I65,Codes!$A$2:$A$108,0)))</f>
        <v>0</v>
      </c>
      <c r="BZ65" s="16" t="n">
        <f aca="false">IF($AU65="","",INDEX(Codes!$E$2:$E$108,MATCH("B8|"&amp;$AU65,Codes!$A$2:$A$108,0)))</f>
        <v>1</v>
      </c>
      <c r="CA65" s="16" t="n">
        <f aca="false">IF($H65="","",INDEX(Codes!$E$2:$E$108,MATCH("A6|"&amp;$H65,Codes!$A$2:$A$108,0)))</f>
        <v>1</v>
      </c>
      <c r="CB65" s="16" t="n">
        <f aca="false">IF($X65="","",IF($X65="phone",1,0))</f>
        <v>0</v>
      </c>
      <c r="CC65" s="16" t="n">
        <f aca="false">IF($BC65="","",8-$BC65)</f>
        <v>2</v>
      </c>
      <c r="CD65" s="12" t="s">
        <v>631</v>
      </c>
      <c r="CE65" s="12" t="n">
        <v>2.466</v>
      </c>
      <c r="CF65" s="12" t="n">
        <v>-0.466</v>
      </c>
    </row>
    <row r="66" customFormat="false" ht="15" hidden="false" customHeight="false" outlineLevel="0" collapsed="false">
      <c r="A66" s="12" t="s">
        <v>860</v>
      </c>
      <c r="B66" s="12" t="s">
        <v>861</v>
      </c>
      <c r="C66" s="12" t="s">
        <v>286</v>
      </c>
      <c r="D66" s="12" t="s">
        <v>299</v>
      </c>
      <c r="E66" s="12" t="s">
        <v>308</v>
      </c>
      <c r="F66" s="12" t="s">
        <v>321</v>
      </c>
      <c r="G66" s="12" t="s">
        <v>333</v>
      </c>
      <c r="H66" s="12" t="s">
        <v>351</v>
      </c>
      <c r="I66" s="12" t="s">
        <v>356</v>
      </c>
      <c r="J66" s="12" t="n">
        <v>1</v>
      </c>
      <c r="K66" s="12" t="n">
        <v>0</v>
      </c>
      <c r="L66" s="12" t="n">
        <v>0</v>
      </c>
      <c r="M66" s="12" t="n">
        <v>0</v>
      </c>
      <c r="N66" s="12" t="n">
        <v>0</v>
      </c>
      <c r="O66" s="12" t="n">
        <v>0</v>
      </c>
      <c r="P66" s="12" t="n">
        <v>0</v>
      </c>
      <c r="Q66" s="12" t="n">
        <v>5</v>
      </c>
      <c r="R66" s="12" t="s">
        <v>404</v>
      </c>
      <c r="S66" s="12" t="n">
        <v>1</v>
      </c>
      <c r="T66" s="12" t="n">
        <v>1</v>
      </c>
      <c r="U66" s="12" t="n">
        <v>0</v>
      </c>
      <c r="V66" s="12" t="n">
        <v>0</v>
      </c>
      <c r="W66" s="12" t="n">
        <v>0</v>
      </c>
      <c r="X66" s="12" t="s">
        <v>407</v>
      </c>
      <c r="Y66" s="12" t="s">
        <v>440</v>
      </c>
      <c r="Z66" s="12" t="n">
        <v>1</v>
      </c>
      <c r="AA66" s="12" t="n">
        <v>1</v>
      </c>
      <c r="AB66" s="12" t="n">
        <v>1</v>
      </c>
      <c r="AC66" s="12" t="n">
        <v>1</v>
      </c>
      <c r="AD66" s="12" t="n">
        <v>0</v>
      </c>
      <c r="AE66" s="12" t="n">
        <v>1</v>
      </c>
      <c r="AF66" s="12" t="n">
        <v>0</v>
      </c>
      <c r="AG66" s="12" t="n">
        <v>0</v>
      </c>
      <c r="AH66" s="12" t="n">
        <v>1</v>
      </c>
      <c r="AI66" s="12" t="n">
        <v>0</v>
      </c>
      <c r="AJ66" s="12" t="n">
        <v>1</v>
      </c>
      <c r="AK66" s="12" t="n">
        <v>0</v>
      </c>
      <c r="AL66" s="12" t="n">
        <v>0</v>
      </c>
      <c r="AM66" s="12" t="n">
        <v>1</v>
      </c>
      <c r="AN66" s="12" t="n">
        <v>0</v>
      </c>
      <c r="AO66" s="12" t="n">
        <v>0</v>
      </c>
      <c r="AP66" s="12" t="n">
        <v>0</v>
      </c>
      <c r="AQ66" s="12" t="n">
        <v>1</v>
      </c>
      <c r="AR66" s="12" t="n">
        <v>0</v>
      </c>
      <c r="AS66" s="12" t="n">
        <v>0</v>
      </c>
      <c r="AT66" s="12" t="s">
        <v>480</v>
      </c>
      <c r="AU66" s="12" t="s">
        <v>343</v>
      </c>
      <c r="AV66" s="12" t="n">
        <v>1</v>
      </c>
      <c r="AW66" s="12" t="n">
        <v>1</v>
      </c>
      <c r="AX66" s="12" t="n">
        <v>0</v>
      </c>
      <c r="AY66" s="12" t="n">
        <v>1</v>
      </c>
      <c r="AZ66" s="12" t="n">
        <v>1</v>
      </c>
      <c r="BA66" s="12" t="n">
        <v>0</v>
      </c>
      <c r="BB66" s="12" t="n">
        <v>3</v>
      </c>
      <c r="BC66" s="12" t="n">
        <v>5</v>
      </c>
      <c r="BD66" s="12" t="n">
        <v>4</v>
      </c>
      <c r="BE66" s="12" t="n">
        <v>4</v>
      </c>
      <c r="BF66" s="12" t="n">
        <v>2</v>
      </c>
      <c r="BG66" s="12" t="n">
        <v>2</v>
      </c>
      <c r="BH66" s="12" t="n">
        <v>5</v>
      </c>
      <c r="BI66" s="12" t="n">
        <v>6</v>
      </c>
      <c r="BJ66" s="12" t="n">
        <v>5</v>
      </c>
      <c r="BK66" s="12" t="n">
        <v>3</v>
      </c>
      <c r="BL66" s="12" t="n">
        <v>5</v>
      </c>
      <c r="BM66" s="12" t="n">
        <v>4</v>
      </c>
      <c r="BN66" s="12" t="n">
        <v>2</v>
      </c>
      <c r="BO66" s="12" t="n">
        <v>4</v>
      </c>
      <c r="BP66" s="12" t="n">
        <v>1</v>
      </c>
      <c r="BQ66" s="12" t="n">
        <v>3</v>
      </c>
      <c r="BR66" s="12" t="n">
        <v>6</v>
      </c>
      <c r="BS66" s="12" t="n">
        <v>5</v>
      </c>
      <c r="BT66" s="12" t="s">
        <v>862</v>
      </c>
      <c r="BU66" s="12" t="s">
        <v>863</v>
      </c>
      <c r="BV66" s="12"/>
      <c r="BW66" s="16" t="n">
        <f aca="false">IF($R66="","",INDEX(Codes!$E$2:$E$108,MATCH("B1|"&amp;$R66,Codes!$A$2:$A$108,0)))</f>
        <v>6</v>
      </c>
      <c r="BX66" s="16" t="n">
        <f aca="false">IF($Y66="","",INDEX(Codes!$E$2:$E$108,MATCH("B4|"&amp;$Y66,Codes!$A$2:$A$108,0)))</f>
        <v>5</v>
      </c>
      <c r="BY66" s="16" t="n">
        <f aca="false">IF($I66="","",INDEX(Codes!$E$2:$E$108,MATCH("A7|"&amp;$I66,Codes!$A$2:$A$108,0)))</f>
        <v>0</v>
      </c>
      <c r="BZ66" s="16" t="n">
        <f aca="false">IF($AU66="","",INDEX(Codes!$E$2:$E$108,MATCH("B8|"&amp;$AU66,Codes!$A$2:$A$108,0)))</f>
        <v>1</v>
      </c>
      <c r="CA66" s="16" t="n">
        <f aca="false">IF($H66="","",INDEX(Codes!$E$2:$E$108,MATCH("A6|"&amp;$H66,Codes!$A$2:$A$108,0)))</f>
        <v>5</v>
      </c>
      <c r="CB66" s="16" t="n">
        <f aca="false">IF($X66="","",IF($X66="phone",1,0))</f>
        <v>0</v>
      </c>
      <c r="CC66" s="16" t="n">
        <f aca="false">IF($BC66="","",8-$BC66)</f>
        <v>3</v>
      </c>
      <c r="CD66" s="12" t="s">
        <v>614</v>
      </c>
      <c r="CE66" s="12" t="n">
        <v>-0.7</v>
      </c>
      <c r="CF66" s="12" t="n">
        <v>2.569</v>
      </c>
    </row>
    <row r="67" customFormat="false" ht="15" hidden="false" customHeight="false" outlineLevel="0" collapsed="false">
      <c r="A67" s="12" t="s">
        <v>864</v>
      </c>
      <c r="B67" s="12" t="s">
        <v>865</v>
      </c>
      <c r="C67" s="12" t="s">
        <v>274</v>
      </c>
      <c r="D67" s="12" t="s">
        <v>291</v>
      </c>
      <c r="E67" s="12" t="s">
        <v>311</v>
      </c>
      <c r="F67" s="12" t="s">
        <v>315</v>
      </c>
      <c r="G67" s="12" t="s">
        <v>333</v>
      </c>
      <c r="H67" s="12" t="s">
        <v>347</v>
      </c>
      <c r="I67" s="12" t="s">
        <v>359</v>
      </c>
      <c r="J67" s="12" t="n">
        <v>0</v>
      </c>
      <c r="K67" s="12" t="n">
        <v>0</v>
      </c>
      <c r="L67" s="12" t="n">
        <v>0</v>
      </c>
      <c r="M67" s="12" t="n">
        <v>0</v>
      </c>
      <c r="N67" s="12" t="n">
        <v>0</v>
      </c>
      <c r="O67" s="12" t="n">
        <v>1</v>
      </c>
      <c r="P67" s="12" t="n">
        <v>0</v>
      </c>
      <c r="Q67" s="12" t="n">
        <v>4</v>
      </c>
      <c r="R67" s="12" t="s">
        <v>401</v>
      </c>
      <c r="S67" s="12" t="n">
        <v>1</v>
      </c>
      <c r="T67" s="12" t="n">
        <v>0</v>
      </c>
      <c r="U67" s="12" t="n">
        <v>0</v>
      </c>
      <c r="V67" s="12" t="n">
        <v>1</v>
      </c>
      <c r="W67" s="12" t="n">
        <v>0</v>
      </c>
      <c r="X67" s="12" t="s">
        <v>407</v>
      </c>
      <c r="Y67" s="12" t="s">
        <v>434</v>
      </c>
      <c r="Z67" s="12" t="n">
        <v>1</v>
      </c>
      <c r="AA67" s="12" t="n">
        <v>1</v>
      </c>
      <c r="AB67" s="12" t="n">
        <v>1</v>
      </c>
      <c r="AC67" s="12" t="n">
        <v>0</v>
      </c>
      <c r="AD67" s="12" t="n">
        <v>0</v>
      </c>
      <c r="AE67" s="12" t="n">
        <v>1</v>
      </c>
      <c r="AF67" s="12" t="n">
        <v>1</v>
      </c>
      <c r="AG67" s="12" t="n">
        <v>1</v>
      </c>
      <c r="AH67" s="12" t="n">
        <v>0</v>
      </c>
      <c r="AI67" s="12" t="n">
        <v>0</v>
      </c>
      <c r="AJ67" s="12" t="n">
        <v>1</v>
      </c>
      <c r="AK67" s="12" t="n">
        <v>0</v>
      </c>
      <c r="AL67" s="12" t="n">
        <v>0</v>
      </c>
      <c r="AM67" s="12" t="n">
        <v>1</v>
      </c>
      <c r="AN67" s="12" t="n">
        <v>1</v>
      </c>
      <c r="AO67" s="12" t="n">
        <v>0</v>
      </c>
      <c r="AP67" s="12" t="n">
        <v>0</v>
      </c>
      <c r="AQ67" s="12" t="n">
        <v>0</v>
      </c>
      <c r="AR67" s="12" t="n">
        <v>0</v>
      </c>
      <c r="AS67" s="12" t="n">
        <v>0</v>
      </c>
      <c r="AT67" s="12" t="s">
        <v>483</v>
      </c>
      <c r="AU67" s="12" t="s">
        <v>343</v>
      </c>
      <c r="AV67" s="12" t="n">
        <v>1</v>
      </c>
      <c r="AW67" s="12" t="n">
        <v>1</v>
      </c>
      <c r="AX67" s="12" t="n">
        <v>0</v>
      </c>
      <c r="AY67" s="12" t="n">
        <v>1</v>
      </c>
      <c r="AZ67" s="12" t="n">
        <v>0</v>
      </c>
      <c r="BA67" s="12" t="n">
        <v>0</v>
      </c>
      <c r="BB67" s="12" t="n">
        <v>4</v>
      </c>
      <c r="BC67" s="12" t="n">
        <v>4</v>
      </c>
      <c r="BD67" s="12" t="n">
        <v>6</v>
      </c>
      <c r="BE67" s="12" t="n">
        <v>4</v>
      </c>
      <c r="BF67" s="12" t="n">
        <v>2</v>
      </c>
      <c r="BG67" s="12" t="n">
        <v>2</v>
      </c>
      <c r="BH67" s="12" t="n">
        <v>4</v>
      </c>
      <c r="BI67" s="12" t="n">
        <v>7</v>
      </c>
      <c r="BJ67" s="12" t="n">
        <v>4</v>
      </c>
      <c r="BK67" s="12" t="n">
        <v>5</v>
      </c>
      <c r="BL67" s="12" t="n">
        <v>4</v>
      </c>
      <c r="BM67" s="12" t="n">
        <v>4</v>
      </c>
      <c r="BN67" s="12" t="n">
        <v>3</v>
      </c>
      <c r="BO67" s="12" t="n">
        <v>2</v>
      </c>
      <c r="BP67" s="12" t="n">
        <v>1</v>
      </c>
      <c r="BQ67" s="12" t="n">
        <v>4</v>
      </c>
      <c r="BR67" s="12" t="n">
        <v>5</v>
      </c>
      <c r="BS67" s="12" t="n">
        <v>6</v>
      </c>
      <c r="BT67" s="12" t="s">
        <v>866</v>
      </c>
      <c r="BU67" s="12" t="s">
        <v>642</v>
      </c>
      <c r="BV67" s="12"/>
      <c r="BW67" s="16" t="n">
        <f aca="false">IF($R67="","",INDEX(Codes!$E$2:$E$108,MATCH("B1|"&amp;$R67,Codes!$A$2:$A$108,0)))</f>
        <v>5</v>
      </c>
      <c r="BX67" s="16" t="n">
        <f aca="false">IF($Y67="","",INDEX(Codes!$E$2:$E$108,MATCH("B4|"&amp;$Y67,Codes!$A$2:$A$108,0)))</f>
        <v>3</v>
      </c>
      <c r="BY67" s="16" t="n">
        <f aca="false">IF($I67="","",INDEX(Codes!$E$2:$E$108,MATCH("A7|"&amp;$I67,Codes!$A$2:$A$108,0)))</f>
        <v>1</v>
      </c>
      <c r="BZ67" s="16" t="n">
        <f aca="false">IF($AU67="","",INDEX(Codes!$E$2:$E$108,MATCH("B8|"&amp;$AU67,Codes!$A$2:$A$108,0)))</f>
        <v>1</v>
      </c>
      <c r="CA67" s="16" t="n">
        <f aca="false">IF($H67="","",INDEX(Codes!$E$2:$E$108,MATCH("A6|"&amp;$H67,Codes!$A$2:$A$108,0)))</f>
        <v>3</v>
      </c>
      <c r="CB67" s="16" t="n">
        <f aca="false">IF($X67="","",IF($X67="phone",1,0))</f>
        <v>0</v>
      </c>
      <c r="CC67" s="16" t="n">
        <f aca="false">IF($BC67="","",8-$BC67)</f>
        <v>4</v>
      </c>
      <c r="CD67" s="12" t="s">
        <v>643</v>
      </c>
      <c r="CE67" s="12" t="n">
        <v>-1.747</v>
      </c>
      <c r="CF67" s="12" t="n">
        <v>0.497</v>
      </c>
    </row>
    <row r="68" customFormat="false" ht="15" hidden="false" customHeight="false" outlineLevel="0" collapsed="false">
      <c r="A68" s="12" t="s">
        <v>867</v>
      </c>
      <c r="B68" s="12" t="s">
        <v>868</v>
      </c>
      <c r="C68" s="12" t="s">
        <v>280</v>
      </c>
      <c r="D68" s="12" t="s">
        <v>293</v>
      </c>
      <c r="E68" s="12" t="s">
        <v>308</v>
      </c>
      <c r="F68" s="12" t="s">
        <v>315</v>
      </c>
      <c r="G68" s="12" t="s">
        <v>333</v>
      </c>
      <c r="H68" s="12" t="s">
        <v>347</v>
      </c>
      <c r="I68" s="12" t="s">
        <v>356</v>
      </c>
      <c r="J68" s="12" t="n">
        <v>1</v>
      </c>
      <c r="K68" s="12" t="n">
        <v>0</v>
      </c>
      <c r="L68" s="12" t="n">
        <v>0</v>
      </c>
      <c r="M68" s="12" t="n">
        <v>0</v>
      </c>
      <c r="N68" s="12" t="n">
        <v>0</v>
      </c>
      <c r="O68" s="12" t="n">
        <v>0</v>
      </c>
      <c r="P68" s="12" t="n">
        <v>0</v>
      </c>
      <c r="Q68" s="12" t="n">
        <v>6</v>
      </c>
      <c r="R68" s="12" t="s">
        <v>404</v>
      </c>
      <c r="S68" s="12" t="n">
        <v>1</v>
      </c>
      <c r="T68" s="12" t="n">
        <v>1</v>
      </c>
      <c r="U68" s="12" t="n">
        <v>0</v>
      </c>
      <c r="V68" s="12" t="n">
        <v>1</v>
      </c>
      <c r="W68" s="12" t="n">
        <v>1</v>
      </c>
      <c r="X68" s="12" t="s">
        <v>410</v>
      </c>
      <c r="Y68" s="12" t="s">
        <v>437</v>
      </c>
      <c r="Z68" s="12" t="n">
        <v>1</v>
      </c>
      <c r="AA68" s="12" t="n">
        <v>1</v>
      </c>
      <c r="AB68" s="12" t="n">
        <v>1</v>
      </c>
      <c r="AC68" s="12" t="n">
        <v>1</v>
      </c>
      <c r="AD68" s="12" t="n">
        <v>0</v>
      </c>
      <c r="AE68" s="12" t="n">
        <v>0</v>
      </c>
      <c r="AF68" s="12" t="n">
        <v>0</v>
      </c>
      <c r="AG68" s="12" t="n">
        <v>0</v>
      </c>
      <c r="AH68" s="12" t="n">
        <v>0</v>
      </c>
      <c r="AI68" s="12" t="n">
        <v>0</v>
      </c>
      <c r="AJ68" s="12" t="n">
        <v>0</v>
      </c>
      <c r="AK68" s="12" t="n">
        <v>0</v>
      </c>
      <c r="AL68" s="12" t="n">
        <v>1</v>
      </c>
      <c r="AM68" s="12" t="n">
        <v>1</v>
      </c>
      <c r="AN68" s="12" t="n">
        <v>0</v>
      </c>
      <c r="AO68" s="12" t="n">
        <v>1</v>
      </c>
      <c r="AP68" s="12" t="n">
        <v>0</v>
      </c>
      <c r="AQ68" s="12" t="n">
        <v>1</v>
      </c>
      <c r="AR68" s="12" t="n">
        <v>1</v>
      </c>
      <c r="AS68" s="12" t="n">
        <v>0</v>
      </c>
      <c r="AT68" s="12" t="s">
        <v>480</v>
      </c>
      <c r="AU68" s="12" t="s">
        <v>343</v>
      </c>
      <c r="AV68" s="12" t="n">
        <v>0</v>
      </c>
      <c r="AW68" s="12" t="n">
        <v>1</v>
      </c>
      <c r="AX68" s="12" t="n">
        <v>0</v>
      </c>
      <c r="AY68" s="12" t="n">
        <v>0</v>
      </c>
      <c r="AZ68" s="12" t="n">
        <v>1</v>
      </c>
      <c r="BA68" s="12" t="n">
        <v>0</v>
      </c>
      <c r="BB68" s="12" t="n">
        <v>3</v>
      </c>
      <c r="BC68" s="12" t="n">
        <v>5</v>
      </c>
      <c r="BD68" s="12" t="n">
        <v>4</v>
      </c>
      <c r="BE68" s="12" t="n">
        <v>4</v>
      </c>
      <c r="BF68" s="12" t="n">
        <v>3</v>
      </c>
      <c r="BG68" s="12" t="n">
        <v>5</v>
      </c>
      <c r="BH68" s="12" t="n">
        <v>6</v>
      </c>
      <c r="BI68" s="12" t="n">
        <v>6</v>
      </c>
      <c r="BJ68" s="12" t="n">
        <v>5</v>
      </c>
      <c r="BK68" s="12" t="n">
        <v>3</v>
      </c>
      <c r="BL68" s="12" t="n">
        <v>4</v>
      </c>
      <c r="BM68" s="12" t="n">
        <v>2</v>
      </c>
      <c r="BN68" s="12" t="n">
        <v>2</v>
      </c>
      <c r="BO68" s="12" t="n">
        <v>4</v>
      </c>
      <c r="BP68" s="12" t="n">
        <v>1</v>
      </c>
      <c r="BQ68" s="12" t="n">
        <v>3</v>
      </c>
      <c r="BR68" s="12" t="n">
        <v>6</v>
      </c>
      <c r="BS68" s="12" t="n">
        <v>5</v>
      </c>
      <c r="BT68" s="12" t="s">
        <v>869</v>
      </c>
      <c r="BU68" s="12" t="s">
        <v>870</v>
      </c>
      <c r="BV68" s="12"/>
      <c r="BW68" s="16" t="n">
        <f aca="false">IF($R68="","",INDEX(Codes!$E$2:$E$108,MATCH("B1|"&amp;$R68,Codes!$A$2:$A$108,0)))</f>
        <v>6</v>
      </c>
      <c r="BX68" s="16" t="n">
        <f aca="false">IF($Y68="","",INDEX(Codes!$E$2:$E$108,MATCH("B4|"&amp;$Y68,Codes!$A$2:$A$108,0)))</f>
        <v>4</v>
      </c>
      <c r="BY68" s="16" t="n">
        <f aca="false">IF($I68="","",INDEX(Codes!$E$2:$E$108,MATCH("A7|"&amp;$I68,Codes!$A$2:$A$108,0)))</f>
        <v>0</v>
      </c>
      <c r="BZ68" s="16" t="n">
        <f aca="false">IF($AU68="","",INDEX(Codes!$E$2:$E$108,MATCH("B8|"&amp;$AU68,Codes!$A$2:$A$108,0)))</f>
        <v>1</v>
      </c>
      <c r="CA68" s="16" t="n">
        <f aca="false">IF($H68="","",INDEX(Codes!$E$2:$E$108,MATCH("A6|"&amp;$H68,Codes!$A$2:$A$108,0)))</f>
        <v>3</v>
      </c>
      <c r="CB68" s="16" t="n">
        <f aca="false">IF($X68="","",IF($X68="phone",1,0))</f>
        <v>0</v>
      </c>
      <c r="CC68" s="16" t="n">
        <f aca="false">IF($BC68="","",8-$BC68)</f>
        <v>3</v>
      </c>
      <c r="CD68" s="12" t="s">
        <v>614</v>
      </c>
      <c r="CE68" s="12" t="n">
        <v>-0.616</v>
      </c>
      <c r="CF68" s="12" t="n">
        <v>2.101</v>
      </c>
    </row>
    <row r="69" customFormat="false" ht="15" hidden="false" customHeight="false" outlineLevel="0" collapsed="false">
      <c r="A69" s="12" t="s">
        <v>871</v>
      </c>
      <c r="B69" s="12" t="s">
        <v>872</v>
      </c>
      <c r="C69" s="12" t="s">
        <v>271</v>
      </c>
      <c r="D69" s="12" t="s">
        <v>291</v>
      </c>
      <c r="E69" s="12" t="s">
        <v>305</v>
      </c>
      <c r="F69" s="12" t="s">
        <v>315</v>
      </c>
      <c r="G69" s="12" t="s">
        <v>333</v>
      </c>
      <c r="H69" s="12" t="s">
        <v>347</v>
      </c>
      <c r="I69" s="12" t="s">
        <v>365</v>
      </c>
      <c r="J69" s="12" t="n">
        <v>1</v>
      </c>
      <c r="K69" s="12" t="n">
        <v>0</v>
      </c>
      <c r="L69" s="12" t="n">
        <v>0</v>
      </c>
      <c r="M69" s="12" t="n">
        <v>0</v>
      </c>
      <c r="N69" s="12" t="n">
        <v>0</v>
      </c>
      <c r="O69" s="12" t="n">
        <v>0</v>
      </c>
      <c r="P69" s="12" t="n">
        <v>0</v>
      </c>
      <c r="Q69" s="12" t="n">
        <v>5</v>
      </c>
      <c r="R69" s="12" t="s">
        <v>395</v>
      </c>
      <c r="S69" s="12" t="n">
        <v>0</v>
      </c>
      <c r="T69" s="12" t="n">
        <v>0</v>
      </c>
      <c r="U69" s="12" t="n">
        <v>1</v>
      </c>
      <c r="V69" s="12" t="n">
        <v>0</v>
      </c>
      <c r="W69" s="12" t="n">
        <v>0</v>
      </c>
      <c r="X69" s="12" t="s">
        <v>407</v>
      </c>
      <c r="Y69" s="12" t="s">
        <v>434</v>
      </c>
      <c r="Z69" s="12" t="n">
        <v>1</v>
      </c>
      <c r="AA69" s="12" t="n">
        <v>0</v>
      </c>
      <c r="AB69" s="12" t="n">
        <v>0</v>
      </c>
      <c r="AC69" s="12" t="n">
        <v>0</v>
      </c>
      <c r="AD69" s="12" t="n">
        <v>0</v>
      </c>
      <c r="AE69" s="12" t="n">
        <v>1</v>
      </c>
      <c r="AF69" s="12" t="n">
        <v>1</v>
      </c>
      <c r="AG69" s="12" t="n">
        <v>0</v>
      </c>
      <c r="AH69" s="12" t="n">
        <v>1</v>
      </c>
      <c r="AI69" s="12" t="n">
        <v>0</v>
      </c>
      <c r="AJ69" s="12" t="n">
        <v>0</v>
      </c>
      <c r="AK69" s="12" t="n">
        <v>0</v>
      </c>
      <c r="AL69" s="12" t="n">
        <v>0</v>
      </c>
      <c r="AM69" s="12" t="n">
        <v>0</v>
      </c>
      <c r="AN69" s="12" t="n">
        <v>0</v>
      </c>
      <c r="AO69" s="12" t="n">
        <v>0</v>
      </c>
      <c r="AP69" s="12" t="n">
        <v>1</v>
      </c>
      <c r="AQ69" s="12" t="n">
        <v>0</v>
      </c>
      <c r="AR69" s="12" t="n">
        <v>1</v>
      </c>
      <c r="AS69" s="12" t="n">
        <v>0</v>
      </c>
      <c r="AT69" s="12" t="s">
        <v>480</v>
      </c>
      <c r="AU69" s="12" t="s">
        <v>356</v>
      </c>
      <c r="AV69" s="12" t="n">
        <v>1</v>
      </c>
      <c r="AW69" s="12" t="n">
        <v>1</v>
      </c>
      <c r="AX69" s="12" t="n">
        <v>0</v>
      </c>
      <c r="AY69" s="12" t="n">
        <v>1</v>
      </c>
      <c r="AZ69" s="12" t="n">
        <v>0</v>
      </c>
      <c r="BA69" s="12" t="n">
        <v>0</v>
      </c>
      <c r="BB69" s="12" t="n">
        <v>5</v>
      </c>
      <c r="BC69" s="12" t="n">
        <v>4</v>
      </c>
      <c r="BD69" s="12" t="n">
        <v>2</v>
      </c>
      <c r="BE69" s="12" t="n">
        <v>6</v>
      </c>
      <c r="BF69" s="12" t="n">
        <v>4</v>
      </c>
      <c r="BG69" s="12" t="n">
        <v>3</v>
      </c>
      <c r="BH69" s="12" t="n">
        <v>4</v>
      </c>
      <c r="BI69" s="12" t="n">
        <v>4</v>
      </c>
      <c r="BJ69" s="12" t="n">
        <v>4</v>
      </c>
      <c r="BK69" s="12" t="n">
        <v>5</v>
      </c>
      <c r="BL69" s="12" t="n">
        <v>4</v>
      </c>
      <c r="BM69" s="12" t="n">
        <v>3</v>
      </c>
      <c r="BN69" s="12" t="n">
        <v>3</v>
      </c>
      <c r="BO69" s="12" t="n">
        <v>1</v>
      </c>
      <c r="BP69" s="12" t="n">
        <v>4</v>
      </c>
      <c r="BQ69" s="12" t="n">
        <v>5</v>
      </c>
      <c r="BR69" s="12" t="n">
        <v>2</v>
      </c>
      <c r="BS69" s="12" t="n">
        <v>6</v>
      </c>
      <c r="BT69" s="12" t="s">
        <v>873</v>
      </c>
      <c r="BU69" s="12"/>
      <c r="BV69" s="12"/>
      <c r="BW69" s="16" t="n">
        <f aca="false">IF($R69="","",INDEX(Codes!$E$2:$E$108,MATCH("B1|"&amp;$R69,Codes!$A$2:$A$108,0)))</f>
        <v>3</v>
      </c>
      <c r="BX69" s="16" t="n">
        <f aca="false">IF($Y69="","",INDEX(Codes!$E$2:$E$108,MATCH("B4|"&amp;$Y69,Codes!$A$2:$A$108,0)))</f>
        <v>3</v>
      </c>
      <c r="BY69" s="16" t="n">
        <f aca="false">IF($I69="","",INDEX(Codes!$E$2:$E$108,MATCH("A7|"&amp;$I69,Codes!$A$2:$A$108,0)))</f>
        <v>3</v>
      </c>
      <c r="BZ69" s="16" t="n">
        <f aca="false">IF($AU69="","",INDEX(Codes!$E$2:$E$108,MATCH("B8|"&amp;$AU69,Codes!$A$2:$A$108,0)))</f>
        <v>0</v>
      </c>
      <c r="CA69" s="16" t="n">
        <f aca="false">IF($H69="","",INDEX(Codes!$E$2:$E$108,MATCH("A6|"&amp;$H69,Codes!$A$2:$A$108,0)))</f>
        <v>3</v>
      </c>
      <c r="CB69" s="16" t="n">
        <f aca="false">IF($X69="","",IF($X69="phone",1,0))</f>
        <v>0</v>
      </c>
      <c r="CC69" s="16" t="n">
        <f aca="false">IF($BC69="","",8-$BC69)</f>
        <v>4</v>
      </c>
      <c r="CD69" s="12" t="s">
        <v>648</v>
      </c>
      <c r="CE69" s="12" t="n">
        <v>0.506</v>
      </c>
      <c r="CF69" s="12" t="n">
        <v>-1.65</v>
      </c>
    </row>
    <row r="70" customFormat="false" ht="15" hidden="false" customHeight="false" outlineLevel="0" collapsed="false">
      <c r="A70" s="12" t="s">
        <v>874</v>
      </c>
      <c r="B70" s="12" t="s">
        <v>875</v>
      </c>
      <c r="C70" s="12" t="s">
        <v>277</v>
      </c>
      <c r="D70" s="12" t="s">
        <v>291</v>
      </c>
      <c r="E70" s="12" t="s">
        <v>308</v>
      </c>
      <c r="F70" s="12" t="s">
        <v>315</v>
      </c>
      <c r="G70" s="12" t="s">
        <v>336</v>
      </c>
      <c r="H70" s="12" t="s">
        <v>345</v>
      </c>
      <c r="I70" s="12" t="s">
        <v>359</v>
      </c>
      <c r="J70" s="12" t="n">
        <v>1</v>
      </c>
      <c r="K70" s="12" t="n">
        <v>0</v>
      </c>
      <c r="L70" s="12" t="n">
        <v>0</v>
      </c>
      <c r="M70" s="12" t="n">
        <v>0</v>
      </c>
      <c r="N70" s="12" t="n">
        <v>0</v>
      </c>
      <c r="O70" s="12" t="n">
        <v>0</v>
      </c>
      <c r="P70" s="12" t="n">
        <v>0</v>
      </c>
      <c r="Q70" s="12" t="n">
        <v>6</v>
      </c>
      <c r="R70" s="12" t="s">
        <v>401</v>
      </c>
      <c r="S70" s="12" t="n">
        <v>1</v>
      </c>
      <c r="T70" s="12" t="n">
        <v>0</v>
      </c>
      <c r="U70" s="12" t="n">
        <v>0</v>
      </c>
      <c r="V70" s="12" t="n">
        <v>0</v>
      </c>
      <c r="W70" s="12" t="n">
        <v>1</v>
      </c>
      <c r="X70" s="12" t="s">
        <v>407</v>
      </c>
      <c r="Y70" s="12" t="s">
        <v>440</v>
      </c>
      <c r="Z70" s="12" t="n">
        <v>1</v>
      </c>
      <c r="AA70" s="12" t="n">
        <v>1</v>
      </c>
      <c r="AB70" s="12" t="n">
        <v>1</v>
      </c>
      <c r="AC70" s="12" t="n">
        <v>1</v>
      </c>
      <c r="AD70" s="12" t="n">
        <v>0</v>
      </c>
      <c r="AE70" s="12" t="n">
        <v>0</v>
      </c>
      <c r="AF70" s="12" t="n">
        <v>1</v>
      </c>
      <c r="AG70" s="12" t="n">
        <v>0</v>
      </c>
      <c r="AH70" s="12" t="n">
        <v>1</v>
      </c>
      <c r="AI70" s="12" t="n">
        <v>0</v>
      </c>
      <c r="AJ70" s="12" t="n">
        <v>1</v>
      </c>
      <c r="AK70" s="12" t="n">
        <v>0</v>
      </c>
      <c r="AL70" s="12" t="n">
        <v>1</v>
      </c>
      <c r="AM70" s="12" t="n">
        <v>0</v>
      </c>
      <c r="AN70" s="12" t="n">
        <v>0</v>
      </c>
      <c r="AO70" s="12" t="n">
        <v>0</v>
      </c>
      <c r="AP70" s="12" t="n">
        <v>0</v>
      </c>
      <c r="AQ70" s="12" t="n">
        <v>1</v>
      </c>
      <c r="AR70" s="12" t="n">
        <v>0</v>
      </c>
      <c r="AS70" s="12" t="n">
        <v>0</v>
      </c>
      <c r="AT70" s="12" t="s">
        <v>480</v>
      </c>
      <c r="AU70" s="12" t="s">
        <v>395</v>
      </c>
      <c r="AV70" s="12" t="n">
        <v>0</v>
      </c>
      <c r="AW70" s="12" t="n">
        <v>1</v>
      </c>
      <c r="AX70" s="12" t="n">
        <v>0</v>
      </c>
      <c r="AY70" s="12" t="n">
        <v>1</v>
      </c>
      <c r="AZ70" s="12" t="n">
        <v>0</v>
      </c>
      <c r="BA70" s="12" t="n">
        <v>0</v>
      </c>
      <c r="BB70" s="12" t="n">
        <v>3</v>
      </c>
      <c r="BC70" s="12" t="n">
        <v>4</v>
      </c>
      <c r="BD70" s="12" t="n">
        <v>3</v>
      </c>
      <c r="BE70" s="12" t="n">
        <v>4</v>
      </c>
      <c r="BF70" s="12" t="n">
        <v>4</v>
      </c>
      <c r="BG70" s="12" t="n">
        <v>2</v>
      </c>
      <c r="BH70" s="12" t="n">
        <v>4</v>
      </c>
      <c r="BI70" s="12" t="n">
        <v>6</v>
      </c>
      <c r="BJ70" s="12" t="n">
        <v>6</v>
      </c>
      <c r="BK70" s="12" t="n">
        <v>4</v>
      </c>
      <c r="BL70" s="12" t="n">
        <v>4</v>
      </c>
      <c r="BM70" s="12" t="n">
        <v>4</v>
      </c>
      <c r="BN70" s="12" t="n">
        <v>1</v>
      </c>
      <c r="BO70" s="12" t="n">
        <v>3</v>
      </c>
      <c r="BP70" s="12" t="n">
        <v>4</v>
      </c>
      <c r="BQ70" s="12" t="n">
        <v>5</v>
      </c>
      <c r="BR70" s="12" t="n">
        <v>2</v>
      </c>
      <c r="BS70" s="12" t="n">
        <v>6</v>
      </c>
      <c r="BT70" s="12" t="s">
        <v>876</v>
      </c>
      <c r="BU70" s="12" t="s">
        <v>877</v>
      </c>
      <c r="BV70" s="12"/>
      <c r="BW70" s="16" t="n">
        <f aca="false">IF($R70="","",INDEX(Codes!$E$2:$E$108,MATCH("B1|"&amp;$R70,Codes!$A$2:$A$108,0)))</f>
        <v>5</v>
      </c>
      <c r="BX70" s="16" t="n">
        <f aca="false">IF($Y70="","",INDEX(Codes!$E$2:$E$108,MATCH("B4|"&amp;$Y70,Codes!$A$2:$A$108,0)))</f>
        <v>5</v>
      </c>
      <c r="BY70" s="16" t="n">
        <f aca="false">IF($I70="","",INDEX(Codes!$E$2:$E$108,MATCH("A7|"&amp;$I70,Codes!$A$2:$A$108,0)))</f>
        <v>1</v>
      </c>
      <c r="BZ70" s="16" t="n">
        <f aca="false">IF($AU70="","",INDEX(Codes!$E$2:$E$108,MATCH("B8|"&amp;$AU70,Codes!$A$2:$A$108,0)))</f>
        <v>2</v>
      </c>
      <c r="CA70" s="16" t="n">
        <f aca="false">IF($H70="","",INDEX(Codes!$E$2:$E$108,MATCH("A6|"&amp;$H70,Codes!$A$2:$A$108,0)))</f>
        <v>2</v>
      </c>
      <c r="CB70" s="16" t="n">
        <f aca="false">IF($X70="","",IF($X70="phone",1,0))</f>
        <v>0</v>
      </c>
      <c r="CC70" s="16" t="n">
        <f aca="false">IF($BC70="","",8-$BC70)</f>
        <v>4</v>
      </c>
      <c r="CD70" s="12" t="s">
        <v>620</v>
      </c>
      <c r="CE70" s="12" t="n">
        <v>1.321</v>
      </c>
      <c r="CF70" s="12" t="n">
        <v>2.133</v>
      </c>
    </row>
    <row r="71" customFormat="false" ht="15" hidden="false" customHeight="false" outlineLevel="0" collapsed="false">
      <c r="A71" s="12" t="s">
        <v>878</v>
      </c>
      <c r="B71" s="12" t="s">
        <v>879</v>
      </c>
      <c r="C71" s="12" t="s">
        <v>274</v>
      </c>
      <c r="D71" s="12" t="s">
        <v>291</v>
      </c>
      <c r="E71" s="12" t="s">
        <v>305</v>
      </c>
      <c r="F71" s="12" t="s">
        <v>315</v>
      </c>
      <c r="G71" s="12" t="s">
        <v>336</v>
      </c>
      <c r="H71" s="12" t="s">
        <v>345</v>
      </c>
      <c r="I71" s="12" t="s">
        <v>368</v>
      </c>
      <c r="J71" s="12" t="n">
        <v>1</v>
      </c>
      <c r="K71" s="12" t="n">
        <v>0</v>
      </c>
      <c r="L71" s="12" t="n">
        <v>0</v>
      </c>
      <c r="M71" s="12" t="n">
        <v>0</v>
      </c>
      <c r="N71" s="12" t="n">
        <v>0</v>
      </c>
      <c r="O71" s="12" t="n">
        <v>0</v>
      </c>
      <c r="P71" s="12" t="n">
        <v>0</v>
      </c>
      <c r="Q71" s="12" t="n">
        <v>6</v>
      </c>
      <c r="R71" s="12" t="s">
        <v>398</v>
      </c>
      <c r="S71" s="12" t="n">
        <v>1</v>
      </c>
      <c r="T71" s="12" t="n">
        <v>0</v>
      </c>
      <c r="U71" s="12" t="n">
        <v>1</v>
      </c>
      <c r="V71" s="12" t="n">
        <v>0</v>
      </c>
      <c r="W71" s="12" t="n">
        <v>0</v>
      </c>
      <c r="X71" s="12" t="s">
        <v>407</v>
      </c>
      <c r="Y71" s="12" t="s">
        <v>434</v>
      </c>
      <c r="Z71" s="12" t="n">
        <v>1</v>
      </c>
      <c r="AA71" s="12" t="n">
        <v>1</v>
      </c>
      <c r="AB71" s="12" t="n">
        <v>1</v>
      </c>
      <c r="AC71" s="12" t="n">
        <v>1</v>
      </c>
      <c r="AD71" s="12" t="n">
        <v>0</v>
      </c>
      <c r="AE71" s="12" t="n">
        <v>0</v>
      </c>
      <c r="AF71" s="12" t="n">
        <v>0</v>
      </c>
      <c r="AG71" s="12" t="n">
        <v>1</v>
      </c>
      <c r="AH71" s="12" t="n">
        <v>0</v>
      </c>
      <c r="AI71" s="12" t="n">
        <v>0</v>
      </c>
      <c r="AJ71" s="12" t="n">
        <v>0</v>
      </c>
      <c r="AK71" s="12" t="n">
        <v>0</v>
      </c>
      <c r="AL71" s="12" t="n">
        <v>0</v>
      </c>
      <c r="AM71" s="12" t="n">
        <v>0</v>
      </c>
      <c r="AN71" s="12" t="n">
        <v>1</v>
      </c>
      <c r="AO71" s="12" t="n">
        <v>0</v>
      </c>
      <c r="AP71" s="12" t="n">
        <v>1</v>
      </c>
      <c r="AQ71" s="12" t="n">
        <v>0</v>
      </c>
      <c r="AR71" s="12" t="n">
        <v>1</v>
      </c>
      <c r="AS71" s="12" t="n">
        <v>0</v>
      </c>
      <c r="AT71" s="12" t="s">
        <v>480</v>
      </c>
      <c r="AU71" s="12" t="s">
        <v>395</v>
      </c>
      <c r="AV71" s="12" t="n">
        <v>0</v>
      </c>
      <c r="AW71" s="12" t="n">
        <v>1</v>
      </c>
      <c r="AX71" s="12" t="n">
        <v>0</v>
      </c>
      <c r="AY71" s="12" t="n">
        <v>1</v>
      </c>
      <c r="AZ71" s="12" t="n">
        <v>0</v>
      </c>
      <c r="BA71" s="12" t="n">
        <v>0</v>
      </c>
      <c r="BB71" s="12" t="n">
        <v>6</v>
      </c>
      <c r="BC71" s="12" t="n">
        <v>1</v>
      </c>
      <c r="BD71" s="12" t="n">
        <v>4</v>
      </c>
      <c r="BE71" s="12" t="n">
        <v>7</v>
      </c>
      <c r="BF71" s="12" t="n">
        <v>3</v>
      </c>
      <c r="BG71" s="12" t="n">
        <v>1</v>
      </c>
      <c r="BH71" s="12" t="n">
        <v>4</v>
      </c>
      <c r="BI71" s="12" t="n">
        <v>5</v>
      </c>
      <c r="BJ71" s="12" t="n">
        <v>4</v>
      </c>
      <c r="BK71" s="12" t="n">
        <v>2</v>
      </c>
      <c r="BL71" s="12" t="n">
        <v>4</v>
      </c>
      <c r="BM71" s="12" t="n">
        <v>3</v>
      </c>
      <c r="BN71" s="12" t="n">
        <v>3</v>
      </c>
      <c r="BO71" s="12" t="n">
        <v>1</v>
      </c>
      <c r="BP71" s="12" t="n">
        <v>5</v>
      </c>
      <c r="BQ71" s="12" t="n">
        <v>6</v>
      </c>
      <c r="BR71" s="12" t="n">
        <v>2</v>
      </c>
      <c r="BS71" s="12" t="n">
        <v>4</v>
      </c>
      <c r="BT71" s="12" t="s">
        <v>662</v>
      </c>
      <c r="BU71" s="12" t="s">
        <v>751</v>
      </c>
      <c r="BV71" s="12" t="s">
        <v>880</v>
      </c>
      <c r="BW71" s="16" t="n">
        <f aca="false">IF($R71="","",INDEX(Codes!$E$2:$E$108,MATCH("B1|"&amp;$R71,Codes!$A$2:$A$108,0)))</f>
        <v>4</v>
      </c>
      <c r="BX71" s="16" t="n">
        <f aca="false">IF($Y71="","",INDEX(Codes!$E$2:$E$108,MATCH("B4|"&amp;$Y71,Codes!$A$2:$A$108,0)))</f>
        <v>3</v>
      </c>
      <c r="BY71" s="16" t="n">
        <f aca="false">IF($I71="","",INDEX(Codes!$E$2:$E$108,MATCH("A7|"&amp;$I71,Codes!$A$2:$A$108,0)))</f>
        <v>4</v>
      </c>
      <c r="BZ71" s="16" t="n">
        <f aca="false">IF($AU71="","",INDEX(Codes!$E$2:$E$108,MATCH("B8|"&amp;$AU71,Codes!$A$2:$A$108,0)))</f>
        <v>2</v>
      </c>
      <c r="CA71" s="16" t="n">
        <f aca="false">IF($H71="","",INDEX(Codes!$E$2:$E$108,MATCH("A6|"&amp;$H71,Codes!$A$2:$A$108,0)))</f>
        <v>2</v>
      </c>
      <c r="CB71" s="16" t="n">
        <f aca="false">IF($X71="","",IF($X71="phone",1,0))</f>
        <v>0</v>
      </c>
      <c r="CC71" s="16" t="n">
        <f aca="false">IF($BC71="","",8-$BC71)</f>
        <v>7</v>
      </c>
      <c r="CD71" s="12" t="s">
        <v>648</v>
      </c>
      <c r="CE71" s="12" t="n">
        <v>-0.324</v>
      </c>
      <c r="CF71" s="12" t="n">
        <v>-0.967</v>
      </c>
    </row>
    <row r="72" customFormat="false" ht="15" hidden="false" customHeight="false" outlineLevel="0" collapsed="false">
      <c r="A72" s="12" t="s">
        <v>881</v>
      </c>
      <c r="B72" s="12" t="s">
        <v>882</v>
      </c>
      <c r="C72" s="12" t="s">
        <v>271</v>
      </c>
      <c r="D72" s="12" t="s">
        <v>291</v>
      </c>
      <c r="E72" s="12" t="s">
        <v>305</v>
      </c>
      <c r="F72" s="12" t="s">
        <v>330</v>
      </c>
      <c r="G72" s="12" t="s">
        <v>333</v>
      </c>
      <c r="H72" s="12" t="s">
        <v>347</v>
      </c>
      <c r="I72" s="12" t="s">
        <v>356</v>
      </c>
      <c r="J72" s="12" t="n">
        <v>1</v>
      </c>
      <c r="K72" s="12" t="n">
        <v>0</v>
      </c>
      <c r="L72" s="12" t="n">
        <v>0</v>
      </c>
      <c r="M72" s="12" t="n">
        <v>0</v>
      </c>
      <c r="N72" s="12" t="n">
        <v>0</v>
      </c>
      <c r="O72" s="12" t="n">
        <v>0</v>
      </c>
      <c r="P72" s="12" t="n">
        <v>0</v>
      </c>
      <c r="Q72" s="12" t="n">
        <v>3</v>
      </c>
      <c r="R72" s="12" t="s">
        <v>398</v>
      </c>
      <c r="S72" s="12" t="n">
        <v>1</v>
      </c>
      <c r="T72" s="12" t="n">
        <v>0</v>
      </c>
      <c r="U72" s="12" t="n">
        <v>0</v>
      </c>
      <c r="V72" s="12" t="n">
        <v>1</v>
      </c>
      <c r="W72" s="12" t="n">
        <v>0</v>
      </c>
      <c r="X72" s="12" t="s">
        <v>410</v>
      </c>
      <c r="Y72" s="12" t="s">
        <v>434</v>
      </c>
      <c r="Z72" s="12" t="n">
        <v>1</v>
      </c>
      <c r="AA72" s="12" t="n">
        <v>1</v>
      </c>
      <c r="AB72" s="12" t="n">
        <v>1</v>
      </c>
      <c r="AC72" s="12" t="n">
        <v>1</v>
      </c>
      <c r="AD72" s="12" t="n">
        <v>0</v>
      </c>
      <c r="AE72" s="12" t="n">
        <v>0</v>
      </c>
      <c r="AF72" s="12" t="n">
        <v>0</v>
      </c>
      <c r="AG72" s="12" t="n">
        <v>1</v>
      </c>
      <c r="AH72" s="12" t="n">
        <v>1</v>
      </c>
      <c r="AI72" s="12" t="n">
        <v>1</v>
      </c>
      <c r="AJ72" s="12" t="n">
        <v>1</v>
      </c>
      <c r="AK72" s="12" t="n">
        <v>0</v>
      </c>
      <c r="AL72" s="12" t="n">
        <v>0</v>
      </c>
      <c r="AM72" s="12" t="n">
        <v>1</v>
      </c>
      <c r="AN72" s="12" t="n">
        <v>0</v>
      </c>
      <c r="AO72" s="12" t="n">
        <v>1</v>
      </c>
      <c r="AP72" s="12" t="n">
        <v>0</v>
      </c>
      <c r="AQ72" s="12" t="n">
        <v>1</v>
      </c>
      <c r="AR72" s="12" t="n">
        <v>1</v>
      </c>
      <c r="AS72" s="12" t="n">
        <v>0</v>
      </c>
      <c r="AT72" s="12" t="s">
        <v>483</v>
      </c>
      <c r="AU72" s="12" t="s">
        <v>343</v>
      </c>
      <c r="AV72" s="12" t="n">
        <v>1</v>
      </c>
      <c r="AW72" s="12" t="n">
        <v>1</v>
      </c>
      <c r="AX72" s="12" t="n">
        <v>1</v>
      </c>
      <c r="AY72" s="12" t="n">
        <v>1</v>
      </c>
      <c r="AZ72" s="12" t="n">
        <v>0</v>
      </c>
      <c r="BA72" s="12" t="n">
        <v>0</v>
      </c>
      <c r="BB72" s="12" t="n">
        <v>1</v>
      </c>
      <c r="BC72" s="12" t="n">
        <v>7</v>
      </c>
      <c r="BD72" s="12" t="n">
        <v>5</v>
      </c>
      <c r="BE72" s="12" t="n">
        <v>2</v>
      </c>
      <c r="BF72" s="12" t="n">
        <v>6</v>
      </c>
      <c r="BG72" s="12" t="n">
        <v>3</v>
      </c>
      <c r="BH72" s="12" t="n">
        <v>5</v>
      </c>
      <c r="BI72" s="12" t="n">
        <v>7</v>
      </c>
      <c r="BJ72" s="12" t="n">
        <v>5</v>
      </c>
      <c r="BK72" s="12" t="n">
        <v>4</v>
      </c>
      <c r="BL72" s="12" t="n">
        <v>4</v>
      </c>
      <c r="BM72" s="12" t="n">
        <v>4</v>
      </c>
      <c r="BN72" s="12" t="n">
        <v>1</v>
      </c>
      <c r="BO72" s="12" t="n">
        <v>5</v>
      </c>
      <c r="BP72" s="12" t="n">
        <v>3</v>
      </c>
      <c r="BQ72" s="12" t="n">
        <v>6</v>
      </c>
      <c r="BR72" s="12" t="n">
        <v>2</v>
      </c>
      <c r="BS72" s="12" t="n">
        <v>4</v>
      </c>
      <c r="BT72" s="12" t="s">
        <v>883</v>
      </c>
      <c r="BU72" s="12"/>
      <c r="BV72" s="12" t="s">
        <v>884</v>
      </c>
      <c r="BW72" s="16" t="n">
        <f aca="false">IF($R72="","",INDEX(Codes!$E$2:$E$108,MATCH("B1|"&amp;$R72,Codes!$A$2:$A$108,0)))</f>
        <v>4</v>
      </c>
      <c r="BX72" s="16" t="n">
        <f aca="false">IF($Y72="","",INDEX(Codes!$E$2:$E$108,MATCH("B4|"&amp;$Y72,Codes!$A$2:$A$108,0)))</f>
        <v>3</v>
      </c>
      <c r="BY72" s="16" t="n">
        <f aca="false">IF($I72="","",INDEX(Codes!$E$2:$E$108,MATCH("A7|"&amp;$I72,Codes!$A$2:$A$108,0)))</f>
        <v>0</v>
      </c>
      <c r="BZ72" s="16" t="n">
        <f aca="false">IF($AU72="","",INDEX(Codes!$E$2:$E$108,MATCH("B8|"&amp;$AU72,Codes!$A$2:$A$108,0)))</f>
        <v>1</v>
      </c>
      <c r="CA72" s="16" t="n">
        <f aca="false">IF($H72="","",INDEX(Codes!$E$2:$E$108,MATCH("A6|"&amp;$H72,Codes!$A$2:$A$108,0)))</f>
        <v>3</v>
      </c>
      <c r="CB72" s="16" t="n">
        <f aca="false">IF($X72="","",IF($X72="phone",1,0))</f>
        <v>0</v>
      </c>
      <c r="CC72" s="16" t="n">
        <f aca="false">IF($BC72="","",8-$BC72)</f>
        <v>1</v>
      </c>
      <c r="CD72" s="12" t="s">
        <v>620</v>
      </c>
      <c r="CE72" s="12" t="n">
        <v>2.123</v>
      </c>
      <c r="CF72" s="12" t="n">
        <v>2.973</v>
      </c>
    </row>
    <row r="73" customFormat="false" ht="15" hidden="false" customHeight="false" outlineLevel="0" collapsed="false">
      <c r="A73" s="12" t="s">
        <v>885</v>
      </c>
      <c r="B73" s="12" t="s">
        <v>886</v>
      </c>
      <c r="C73" s="12" t="s">
        <v>274</v>
      </c>
      <c r="D73" s="12" t="s">
        <v>291</v>
      </c>
      <c r="E73" s="12" t="s">
        <v>308</v>
      </c>
      <c r="F73" s="12" t="s">
        <v>318</v>
      </c>
      <c r="G73" s="12" t="s">
        <v>339</v>
      </c>
      <c r="H73" s="12" t="s">
        <v>347</v>
      </c>
      <c r="I73" s="12" t="s">
        <v>362</v>
      </c>
      <c r="J73" s="12" t="n">
        <v>1</v>
      </c>
      <c r="K73" s="12" t="n">
        <v>0</v>
      </c>
      <c r="L73" s="12" t="n">
        <v>0</v>
      </c>
      <c r="M73" s="12" t="n">
        <v>0</v>
      </c>
      <c r="N73" s="12" t="n">
        <v>0</v>
      </c>
      <c r="O73" s="12" t="n">
        <v>0</v>
      </c>
      <c r="P73" s="12" t="n">
        <v>0</v>
      </c>
      <c r="Q73" s="12" t="n">
        <v>7</v>
      </c>
      <c r="R73" s="12" t="s">
        <v>398</v>
      </c>
      <c r="S73" s="12" t="n">
        <v>1</v>
      </c>
      <c r="T73" s="12" t="n">
        <v>0</v>
      </c>
      <c r="U73" s="12" t="n">
        <v>0</v>
      </c>
      <c r="V73" s="12" t="n">
        <v>0</v>
      </c>
      <c r="W73" s="12" t="n">
        <v>0</v>
      </c>
      <c r="X73" s="12" t="s">
        <v>407</v>
      </c>
      <c r="Y73" s="12" t="s">
        <v>437</v>
      </c>
      <c r="Z73" s="12" t="n">
        <v>1</v>
      </c>
      <c r="AA73" s="12" t="n">
        <v>1</v>
      </c>
      <c r="AB73" s="12" t="n">
        <v>0</v>
      </c>
      <c r="AC73" s="12" t="n">
        <v>1</v>
      </c>
      <c r="AD73" s="12" t="n">
        <v>1</v>
      </c>
      <c r="AE73" s="12" t="n">
        <v>1</v>
      </c>
      <c r="AF73" s="12" t="n">
        <v>1</v>
      </c>
      <c r="AG73" s="12" t="n">
        <v>1</v>
      </c>
      <c r="AH73" s="12" t="n">
        <v>1</v>
      </c>
      <c r="AI73" s="12" t="n">
        <v>1</v>
      </c>
      <c r="AJ73" s="12" t="n">
        <v>1</v>
      </c>
      <c r="AK73" s="12" t="n">
        <v>0</v>
      </c>
      <c r="AL73" s="12" t="n">
        <v>0</v>
      </c>
      <c r="AM73" s="12" t="n">
        <v>1</v>
      </c>
      <c r="AN73" s="12" t="n">
        <v>0</v>
      </c>
      <c r="AO73" s="12" t="n">
        <v>0</v>
      </c>
      <c r="AP73" s="12" t="n">
        <v>1</v>
      </c>
      <c r="AQ73" s="12" t="n">
        <v>1</v>
      </c>
      <c r="AR73" s="12" t="n">
        <v>0</v>
      </c>
      <c r="AS73" s="12" t="n">
        <v>1</v>
      </c>
      <c r="AT73" s="12" t="s">
        <v>483</v>
      </c>
      <c r="AU73" s="12" t="s">
        <v>395</v>
      </c>
      <c r="AV73" s="12" t="n">
        <v>1</v>
      </c>
      <c r="AW73" s="12" t="n">
        <v>1</v>
      </c>
      <c r="AX73" s="12" t="n">
        <v>0</v>
      </c>
      <c r="AY73" s="12" t="n">
        <v>0</v>
      </c>
      <c r="AZ73" s="12" t="n">
        <v>0</v>
      </c>
      <c r="BA73" s="12" t="n">
        <v>0</v>
      </c>
      <c r="BB73" s="12" t="n">
        <v>4</v>
      </c>
      <c r="BC73" s="12" t="n">
        <v>3</v>
      </c>
      <c r="BD73" s="12" t="n">
        <v>4</v>
      </c>
      <c r="BE73" s="12" t="n">
        <v>5</v>
      </c>
      <c r="BF73" s="12" t="n">
        <v>4</v>
      </c>
      <c r="BG73" s="12" t="n">
        <v>1</v>
      </c>
      <c r="BH73" s="12" t="n">
        <v>5</v>
      </c>
      <c r="BI73" s="12" t="n">
        <v>7</v>
      </c>
      <c r="BJ73" s="12" t="n">
        <v>6</v>
      </c>
      <c r="BK73" s="12" t="n">
        <v>5</v>
      </c>
      <c r="BL73" s="12" t="n">
        <v>5</v>
      </c>
      <c r="BM73" s="12" t="n">
        <v>4</v>
      </c>
      <c r="BN73" s="12" t="n">
        <v>2</v>
      </c>
      <c r="BO73" s="12" t="n">
        <v>3</v>
      </c>
      <c r="BP73" s="12" t="n">
        <v>4</v>
      </c>
      <c r="BQ73" s="12" t="n">
        <v>6</v>
      </c>
      <c r="BR73" s="12" t="n">
        <v>1</v>
      </c>
      <c r="BS73" s="12" t="n">
        <v>5</v>
      </c>
      <c r="BT73" s="12" t="s">
        <v>887</v>
      </c>
      <c r="BU73" s="12" t="s">
        <v>697</v>
      </c>
      <c r="BV73" s="12"/>
      <c r="BW73" s="16" t="n">
        <f aca="false">IF($R73="","",INDEX(Codes!$E$2:$E$108,MATCH("B1|"&amp;$R73,Codes!$A$2:$A$108,0)))</f>
        <v>4</v>
      </c>
      <c r="BX73" s="16" t="n">
        <f aca="false">IF($Y73="","",INDEX(Codes!$E$2:$E$108,MATCH("B4|"&amp;$Y73,Codes!$A$2:$A$108,0)))</f>
        <v>4</v>
      </c>
      <c r="BY73" s="16" t="n">
        <f aca="false">IF($I73="","",INDEX(Codes!$E$2:$E$108,MATCH("A7|"&amp;$I73,Codes!$A$2:$A$108,0)))</f>
        <v>2</v>
      </c>
      <c r="BZ73" s="16" t="n">
        <f aca="false">IF($AU73="","",INDEX(Codes!$E$2:$E$108,MATCH("B8|"&amp;$AU73,Codes!$A$2:$A$108,0)))</f>
        <v>2</v>
      </c>
      <c r="CA73" s="16" t="n">
        <f aca="false">IF($H73="","",INDEX(Codes!$E$2:$E$108,MATCH("A6|"&amp;$H73,Codes!$A$2:$A$108,0)))</f>
        <v>3</v>
      </c>
      <c r="CB73" s="16" t="n">
        <f aca="false">IF($X73="","",IF($X73="phone",1,0))</f>
        <v>0</v>
      </c>
      <c r="CC73" s="16" t="n">
        <f aca="false">IF($BC73="","",8-$BC73)</f>
        <v>5</v>
      </c>
      <c r="CD73" s="12" t="s">
        <v>620</v>
      </c>
      <c r="CE73" s="12" t="n">
        <v>0.077</v>
      </c>
      <c r="CF73" s="12" t="n">
        <v>2.397</v>
      </c>
    </row>
    <row r="74" customFormat="false" ht="15" hidden="false" customHeight="false" outlineLevel="0" collapsed="false">
      <c r="A74" s="12" t="s">
        <v>888</v>
      </c>
      <c r="B74" s="12" t="s">
        <v>889</v>
      </c>
      <c r="C74" s="12" t="s">
        <v>271</v>
      </c>
      <c r="D74" s="12" t="s">
        <v>293</v>
      </c>
      <c r="E74" s="12" t="s">
        <v>308</v>
      </c>
      <c r="F74" s="12" t="s">
        <v>318</v>
      </c>
      <c r="G74" s="12" t="s">
        <v>336</v>
      </c>
      <c r="H74" s="12" t="s">
        <v>349</v>
      </c>
      <c r="I74" s="12" t="s">
        <v>365</v>
      </c>
      <c r="J74" s="12" t="n">
        <v>1</v>
      </c>
      <c r="K74" s="12" t="n">
        <v>0</v>
      </c>
      <c r="L74" s="12" t="n">
        <v>0</v>
      </c>
      <c r="M74" s="12" t="n">
        <v>0</v>
      </c>
      <c r="N74" s="12" t="n">
        <v>0</v>
      </c>
      <c r="O74" s="12" t="n">
        <v>0</v>
      </c>
      <c r="P74" s="12" t="n">
        <v>0</v>
      </c>
      <c r="Q74" s="12" t="n">
        <v>3</v>
      </c>
      <c r="R74" s="12" t="s">
        <v>395</v>
      </c>
      <c r="S74" s="12" t="n">
        <v>1</v>
      </c>
      <c r="T74" s="12" t="n">
        <v>0</v>
      </c>
      <c r="U74" s="12" t="n">
        <v>1</v>
      </c>
      <c r="V74" s="12" t="n">
        <v>0</v>
      </c>
      <c r="W74" s="12" t="n">
        <v>0</v>
      </c>
      <c r="X74" s="12" t="s">
        <v>407</v>
      </c>
      <c r="Y74" s="12" t="s">
        <v>431</v>
      </c>
      <c r="Z74" s="12" t="n">
        <v>1</v>
      </c>
      <c r="AA74" s="12" t="n">
        <v>1</v>
      </c>
      <c r="AB74" s="12" t="n">
        <v>1</v>
      </c>
      <c r="AC74" s="12" t="n">
        <v>1</v>
      </c>
      <c r="AD74" s="12" t="n">
        <v>0</v>
      </c>
      <c r="AE74" s="12" t="n">
        <v>0</v>
      </c>
      <c r="AF74" s="12" t="n">
        <v>1</v>
      </c>
      <c r="AG74" s="12" t="n">
        <v>1</v>
      </c>
      <c r="AH74" s="12" t="n">
        <v>1</v>
      </c>
      <c r="AI74" s="12" t="n">
        <v>0</v>
      </c>
      <c r="AJ74" s="12" t="n">
        <v>0</v>
      </c>
      <c r="AK74" s="12" t="n">
        <v>0</v>
      </c>
      <c r="AL74" s="12" t="n">
        <v>0</v>
      </c>
      <c r="AM74" s="12" t="n">
        <v>1</v>
      </c>
      <c r="AN74" s="12" t="n">
        <v>0</v>
      </c>
      <c r="AO74" s="12" t="n">
        <v>0</v>
      </c>
      <c r="AP74" s="12" t="n">
        <v>0</v>
      </c>
      <c r="AQ74" s="12" t="n">
        <v>0</v>
      </c>
      <c r="AR74" s="12" t="n">
        <v>1</v>
      </c>
      <c r="AS74" s="12" t="n">
        <v>1</v>
      </c>
      <c r="AT74" s="12" t="s">
        <v>480</v>
      </c>
      <c r="AU74" s="12" t="s">
        <v>395</v>
      </c>
      <c r="AV74" s="12" t="n">
        <v>0</v>
      </c>
      <c r="AW74" s="12" t="n">
        <v>1</v>
      </c>
      <c r="AX74" s="12" t="n">
        <v>0</v>
      </c>
      <c r="AY74" s="12" t="n">
        <v>1</v>
      </c>
      <c r="AZ74" s="12" t="n">
        <v>0</v>
      </c>
      <c r="BA74" s="12" t="n">
        <v>0</v>
      </c>
      <c r="BB74" s="12" t="n">
        <v>3</v>
      </c>
      <c r="BC74" s="12" t="n">
        <v>7</v>
      </c>
      <c r="BD74" s="12" t="n">
        <v>3</v>
      </c>
      <c r="BE74" s="12" t="n">
        <v>6</v>
      </c>
      <c r="BF74" s="12" t="n">
        <v>4</v>
      </c>
      <c r="BG74" s="12" t="n">
        <v>2</v>
      </c>
      <c r="BH74" s="12" t="n">
        <v>4</v>
      </c>
      <c r="BI74" s="12" t="n">
        <v>3</v>
      </c>
      <c r="BJ74" s="12" t="n">
        <v>3</v>
      </c>
      <c r="BK74" s="12" t="n">
        <v>4</v>
      </c>
      <c r="BL74" s="12" t="n">
        <v>3</v>
      </c>
      <c r="BM74" s="12" t="n">
        <v>4</v>
      </c>
      <c r="BN74" s="12" t="n">
        <v>3</v>
      </c>
      <c r="BO74" s="12" t="n">
        <v>1</v>
      </c>
      <c r="BP74" s="12" t="n">
        <v>4</v>
      </c>
      <c r="BQ74" s="12" t="n">
        <v>5</v>
      </c>
      <c r="BR74" s="12" t="n">
        <v>2</v>
      </c>
      <c r="BS74" s="12" t="n">
        <v>6</v>
      </c>
      <c r="BT74" s="12" t="s">
        <v>890</v>
      </c>
      <c r="BU74" s="12" t="s">
        <v>839</v>
      </c>
      <c r="BV74" s="12"/>
      <c r="BW74" s="16" t="n">
        <f aca="false">IF($R74="","",INDEX(Codes!$E$2:$E$108,MATCH("B1|"&amp;$R74,Codes!$A$2:$A$108,0)))</f>
        <v>3</v>
      </c>
      <c r="BX74" s="16" t="n">
        <f aca="false">IF($Y74="","",INDEX(Codes!$E$2:$E$108,MATCH("B4|"&amp;$Y74,Codes!$A$2:$A$108,0)))</f>
        <v>2</v>
      </c>
      <c r="BY74" s="16" t="n">
        <f aca="false">IF($I74="","",INDEX(Codes!$E$2:$E$108,MATCH("A7|"&amp;$I74,Codes!$A$2:$A$108,0)))</f>
        <v>3</v>
      </c>
      <c r="BZ74" s="16" t="n">
        <f aca="false">IF($AU74="","",INDEX(Codes!$E$2:$E$108,MATCH("B8|"&amp;$AU74,Codes!$A$2:$A$108,0)))</f>
        <v>2</v>
      </c>
      <c r="CA74" s="16" t="n">
        <f aca="false">IF($H74="","",INDEX(Codes!$E$2:$E$108,MATCH("A6|"&amp;$H74,Codes!$A$2:$A$108,0)))</f>
        <v>4</v>
      </c>
      <c r="CB74" s="16" t="n">
        <f aca="false">IF($X74="","",IF($X74="phone",1,0))</f>
        <v>0</v>
      </c>
      <c r="CC74" s="16" t="n">
        <f aca="false">IF($BC74="","",8-$BC74)</f>
        <v>1</v>
      </c>
      <c r="CD74" s="12" t="s">
        <v>648</v>
      </c>
      <c r="CE74" s="12" t="n">
        <v>2.068</v>
      </c>
      <c r="CF74" s="12" t="n">
        <v>-2.6</v>
      </c>
    </row>
    <row r="75" customFormat="false" ht="15" hidden="false" customHeight="false" outlineLevel="0" collapsed="false">
      <c r="A75" s="12" t="s">
        <v>891</v>
      </c>
      <c r="B75" s="12" t="s">
        <v>892</v>
      </c>
      <c r="C75" s="12" t="s">
        <v>283</v>
      </c>
      <c r="D75" s="12" t="s">
        <v>297</v>
      </c>
      <c r="E75" s="12" t="s">
        <v>305</v>
      </c>
      <c r="F75" s="12" t="s">
        <v>318</v>
      </c>
      <c r="G75" s="12" t="s">
        <v>336</v>
      </c>
      <c r="H75" s="12" t="s">
        <v>345</v>
      </c>
      <c r="I75" s="12" t="s">
        <v>362</v>
      </c>
      <c r="J75" s="12" t="n">
        <v>1</v>
      </c>
      <c r="K75" s="12" t="n">
        <v>0</v>
      </c>
      <c r="L75" s="12" t="n">
        <v>0</v>
      </c>
      <c r="M75" s="12" t="n">
        <v>0</v>
      </c>
      <c r="N75" s="12" t="n">
        <v>0</v>
      </c>
      <c r="O75" s="12" t="n">
        <v>0</v>
      </c>
      <c r="P75" s="12" t="n">
        <v>0</v>
      </c>
      <c r="Q75" s="12" t="n">
        <v>3</v>
      </c>
      <c r="R75" s="12" t="s">
        <v>390</v>
      </c>
      <c r="S75" s="12" t="n">
        <v>0</v>
      </c>
      <c r="T75" s="12" t="n">
        <v>1</v>
      </c>
      <c r="U75" s="12" t="n">
        <v>0</v>
      </c>
      <c r="V75" s="12" t="n">
        <v>0</v>
      </c>
      <c r="W75" s="12" t="n">
        <v>0</v>
      </c>
      <c r="X75" s="12" t="s">
        <v>410</v>
      </c>
      <c r="Y75" s="12" t="s">
        <v>434</v>
      </c>
      <c r="Z75" s="12" t="n">
        <v>1</v>
      </c>
      <c r="AA75" s="12" t="n">
        <v>0</v>
      </c>
      <c r="AB75" s="12" t="n">
        <v>0</v>
      </c>
      <c r="AC75" s="12" t="n">
        <v>1</v>
      </c>
      <c r="AD75" s="12" t="n">
        <v>0</v>
      </c>
      <c r="AE75" s="12" t="n">
        <v>0</v>
      </c>
      <c r="AF75" s="12" t="n">
        <v>0</v>
      </c>
      <c r="AG75" s="12" t="n">
        <v>0</v>
      </c>
      <c r="AH75" s="12" t="n">
        <v>1</v>
      </c>
      <c r="AI75" s="12" t="n">
        <v>0</v>
      </c>
      <c r="AJ75" s="12" t="n">
        <v>1</v>
      </c>
      <c r="AK75" s="12" t="n">
        <v>0</v>
      </c>
      <c r="AL75" s="12" t="n">
        <v>0</v>
      </c>
      <c r="AM75" s="12" t="n">
        <v>1</v>
      </c>
      <c r="AN75" s="12" t="n">
        <v>0</v>
      </c>
      <c r="AO75" s="12" t="n">
        <v>0</v>
      </c>
      <c r="AP75" s="12" t="n">
        <v>0</v>
      </c>
      <c r="AQ75" s="12" t="n">
        <v>1</v>
      </c>
      <c r="AR75" s="12" t="n">
        <v>1</v>
      </c>
      <c r="AS75" s="12" t="n">
        <v>0</v>
      </c>
      <c r="AT75" s="12" t="s">
        <v>480</v>
      </c>
      <c r="AU75" s="12" t="s">
        <v>395</v>
      </c>
      <c r="AV75" s="12" t="n">
        <v>1</v>
      </c>
      <c r="AW75" s="12" t="n">
        <v>1</v>
      </c>
      <c r="AX75" s="12" t="n">
        <v>0</v>
      </c>
      <c r="AY75" s="12" t="n">
        <v>1</v>
      </c>
      <c r="AZ75" s="12" t="n">
        <v>1</v>
      </c>
      <c r="BA75" s="12" t="n">
        <v>0</v>
      </c>
      <c r="BB75" s="12" t="n">
        <v>4</v>
      </c>
      <c r="BC75" s="12" t="n">
        <v>5</v>
      </c>
      <c r="BD75" s="12" t="n">
        <v>2</v>
      </c>
      <c r="BE75" s="12" t="n">
        <v>7</v>
      </c>
      <c r="BF75" s="12" t="n">
        <v>3</v>
      </c>
      <c r="BG75" s="12" t="n">
        <v>4</v>
      </c>
      <c r="BH75" s="12" t="n">
        <v>4</v>
      </c>
      <c r="BI75" s="12" t="n">
        <v>2</v>
      </c>
      <c r="BJ75" s="12" t="n">
        <v>3</v>
      </c>
      <c r="BK75" s="12" t="n">
        <v>3</v>
      </c>
      <c r="BL75" s="12" t="n">
        <v>3</v>
      </c>
      <c r="BM75" s="12" t="n">
        <v>2</v>
      </c>
      <c r="BN75" s="12" t="n">
        <v>1</v>
      </c>
      <c r="BO75" s="12" t="n">
        <v>2</v>
      </c>
      <c r="BP75" s="12" t="n">
        <v>4</v>
      </c>
      <c r="BQ75" s="12" t="n">
        <v>3</v>
      </c>
      <c r="BR75" s="12" t="n">
        <v>5</v>
      </c>
      <c r="BS75" s="12" t="n">
        <v>6</v>
      </c>
      <c r="BT75" s="12" t="s">
        <v>893</v>
      </c>
      <c r="BU75" s="12" t="s">
        <v>894</v>
      </c>
      <c r="BV75" s="12" t="s">
        <v>895</v>
      </c>
      <c r="BW75" s="16" t="n">
        <f aca="false">IF($R75="","",INDEX(Codes!$E$2:$E$108,MATCH("B1|"&amp;$R75,Codes!$A$2:$A$108,0)))</f>
        <v>1</v>
      </c>
      <c r="BX75" s="16" t="n">
        <f aca="false">IF($Y75="","",INDEX(Codes!$E$2:$E$108,MATCH("B4|"&amp;$Y75,Codes!$A$2:$A$108,0)))</f>
        <v>3</v>
      </c>
      <c r="BY75" s="16" t="n">
        <f aca="false">IF($I75="","",INDEX(Codes!$E$2:$E$108,MATCH("A7|"&amp;$I75,Codes!$A$2:$A$108,0)))</f>
        <v>2</v>
      </c>
      <c r="BZ75" s="16" t="n">
        <f aca="false">IF($AU75="","",INDEX(Codes!$E$2:$E$108,MATCH("B8|"&amp;$AU75,Codes!$A$2:$A$108,0)))</f>
        <v>2</v>
      </c>
      <c r="CA75" s="16" t="n">
        <f aca="false">IF($H75="","",INDEX(Codes!$E$2:$E$108,MATCH("A6|"&amp;$H75,Codes!$A$2:$A$108,0)))</f>
        <v>2</v>
      </c>
      <c r="CB75" s="16" t="n">
        <f aca="false">IF($X75="","",IF($X75="phone",1,0))</f>
        <v>0</v>
      </c>
      <c r="CC75" s="16" t="n">
        <f aca="false">IF($BC75="","",8-$BC75)</f>
        <v>3</v>
      </c>
      <c r="CD75" s="12" t="s">
        <v>631</v>
      </c>
      <c r="CE75" s="12" t="n">
        <v>2.557</v>
      </c>
      <c r="CF75" s="12" t="n">
        <v>-3.302</v>
      </c>
    </row>
    <row r="76" customFormat="false" ht="15" hidden="false" customHeight="false" outlineLevel="0" collapsed="false">
      <c r="A76" s="12" t="s">
        <v>896</v>
      </c>
      <c r="B76" s="12" t="s">
        <v>897</v>
      </c>
      <c r="C76" s="12" t="s">
        <v>274</v>
      </c>
      <c r="D76" s="12" t="s">
        <v>291</v>
      </c>
      <c r="E76" s="12" t="s">
        <v>308</v>
      </c>
      <c r="F76" s="12" t="s">
        <v>315</v>
      </c>
      <c r="G76" s="12" t="s">
        <v>333</v>
      </c>
      <c r="H76" s="12" t="s">
        <v>347</v>
      </c>
      <c r="I76" s="12" t="s">
        <v>365</v>
      </c>
      <c r="J76" s="12" t="n">
        <v>0</v>
      </c>
      <c r="K76" s="12" t="n">
        <v>0</v>
      </c>
      <c r="L76" s="12" t="n">
        <v>0</v>
      </c>
      <c r="M76" s="12" t="n">
        <v>1</v>
      </c>
      <c r="N76" s="12" t="n">
        <v>0</v>
      </c>
      <c r="O76" s="12" t="n">
        <v>1</v>
      </c>
      <c r="P76" s="12" t="n">
        <v>0</v>
      </c>
      <c r="Q76" s="12" t="n">
        <v>6</v>
      </c>
      <c r="R76" s="12" t="s">
        <v>398</v>
      </c>
      <c r="S76" s="12" t="n">
        <v>1</v>
      </c>
      <c r="T76" s="12" t="n">
        <v>0</v>
      </c>
      <c r="U76" s="12" t="n">
        <v>0</v>
      </c>
      <c r="V76" s="12" t="n">
        <v>0</v>
      </c>
      <c r="W76" s="12" t="n">
        <v>0</v>
      </c>
      <c r="X76" s="12" t="s">
        <v>407</v>
      </c>
      <c r="Y76" s="12" t="s">
        <v>440</v>
      </c>
      <c r="Z76" s="12" t="n">
        <v>1</v>
      </c>
      <c r="AA76" s="12" t="n">
        <v>1</v>
      </c>
      <c r="AB76" s="12" t="n">
        <v>1</v>
      </c>
      <c r="AC76" s="12" t="n">
        <v>1</v>
      </c>
      <c r="AD76" s="12" t="n">
        <v>1</v>
      </c>
      <c r="AE76" s="12" t="n">
        <v>0</v>
      </c>
      <c r="AF76" s="12" t="n">
        <v>0</v>
      </c>
      <c r="AG76" s="12" t="n">
        <v>0</v>
      </c>
      <c r="AH76" s="12" t="n">
        <v>1</v>
      </c>
      <c r="AI76" s="12" t="n">
        <v>0</v>
      </c>
      <c r="AJ76" s="12" t="n">
        <v>1</v>
      </c>
      <c r="AK76" s="12" t="n">
        <v>0</v>
      </c>
      <c r="AL76" s="12" t="n">
        <v>1</v>
      </c>
      <c r="AM76" s="12" t="n">
        <v>0</v>
      </c>
      <c r="AN76" s="12" t="n">
        <v>0</v>
      </c>
      <c r="AO76" s="12" t="n">
        <v>1</v>
      </c>
      <c r="AP76" s="12" t="n">
        <v>0</v>
      </c>
      <c r="AQ76" s="12" t="n">
        <v>1</v>
      </c>
      <c r="AR76" s="12" t="n">
        <v>1</v>
      </c>
      <c r="AS76" s="12" t="n">
        <v>1</v>
      </c>
      <c r="AT76" s="12" t="s">
        <v>480</v>
      </c>
      <c r="AU76" s="12" t="s">
        <v>521</v>
      </c>
      <c r="AV76" s="12" t="n">
        <v>1</v>
      </c>
      <c r="AW76" s="12" t="n">
        <v>1</v>
      </c>
      <c r="AX76" s="12" t="n">
        <v>1</v>
      </c>
      <c r="AY76" s="12" t="n">
        <v>0</v>
      </c>
      <c r="AZ76" s="12" t="n">
        <v>0</v>
      </c>
      <c r="BA76" s="12" t="n">
        <v>0</v>
      </c>
      <c r="BB76" s="12" t="n">
        <v>1</v>
      </c>
      <c r="BC76" s="12" t="n">
        <v>7</v>
      </c>
      <c r="BD76" s="12" t="n">
        <v>4</v>
      </c>
      <c r="BE76" s="12" t="n">
        <v>5</v>
      </c>
      <c r="BF76" s="12" t="n">
        <v>2</v>
      </c>
      <c r="BG76" s="12" t="n">
        <v>2</v>
      </c>
      <c r="BH76" s="12" t="n">
        <v>6</v>
      </c>
      <c r="BI76" s="12" t="n">
        <v>2</v>
      </c>
      <c r="BJ76" s="12" t="n">
        <v>3</v>
      </c>
      <c r="BK76" s="12" t="n">
        <v>3</v>
      </c>
      <c r="BL76" s="12" t="n">
        <v>1</v>
      </c>
      <c r="BM76" s="12" t="n">
        <v>2</v>
      </c>
      <c r="BN76" s="12" t="n">
        <v>1</v>
      </c>
      <c r="BO76" s="12" t="n">
        <v>4</v>
      </c>
      <c r="BP76" s="12" t="n">
        <v>3</v>
      </c>
      <c r="BQ76" s="12" t="n">
        <v>5</v>
      </c>
      <c r="BR76" s="12" t="n">
        <v>2</v>
      </c>
      <c r="BS76" s="12" t="n">
        <v>6</v>
      </c>
      <c r="BT76" s="12" t="s">
        <v>898</v>
      </c>
      <c r="BU76" s="12" t="s">
        <v>899</v>
      </c>
      <c r="BV76" s="12" t="s">
        <v>900</v>
      </c>
      <c r="BW76" s="16" t="n">
        <f aca="false">IF($R76="","",INDEX(Codes!$E$2:$E$108,MATCH("B1|"&amp;$R76,Codes!$A$2:$A$108,0)))</f>
        <v>4</v>
      </c>
      <c r="BX76" s="16" t="n">
        <f aca="false">IF($Y76="","",INDEX(Codes!$E$2:$E$108,MATCH("B4|"&amp;$Y76,Codes!$A$2:$A$108,0)))</f>
        <v>5</v>
      </c>
      <c r="BY76" s="16" t="n">
        <f aca="false">IF($I76="","",INDEX(Codes!$E$2:$E$108,MATCH("A7|"&amp;$I76,Codes!$A$2:$A$108,0)))</f>
        <v>3</v>
      </c>
      <c r="BZ76" s="16" t="n">
        <f aca="false">IF($AU76="","",INDEX(Codes!$E$2:$E$108,MATCH("B8|"&amp;$AU76,Codes!$A$2:$A$108,0)))</f>
        <v>4</v>
      </c>
      <c r="CA76" s="16" t="n">
        <f aca="false">IF($H76="","",INDEX(Codes!$E$2:$E$108,MATCH("A6|"&amp;$H76,Codes!$A$2:$A$108,0)))</f>
        <v>3</v>
      </c>
      <c r="CB76" s="16" t="n">
        <f aca="false">IF($X76="","",IF($X76="phone",1,0))</f>
        <v>0</v>
      </c>
      <c r="CC76" s="16" t="n">
        <f aca="false">IF($BC76="","",8-$BC76)</f>
        <v>1</v>
      </c>
      <c r="CD76" s="12" t="s">
        <v>671</v>
      </c>
      <c r="CE76" s="12" t="n">
        <v>4.201</v>
      </c>
      <c r="CF76" s="12" t="n">
        <v>0.395</v>
      </c>
    </row>
    <row r="77" customFormat="false" ht="15" hidden="false" customHeight="false" outlineLevel="0" collapsed="false">
      <c r="A77" s="12" t="s">
        <v>901</v>
      </c>
      <c r="B77" s="12" t="s">
        <v>902</v>
      </c>
      <c r="C77" s="12" t="s">
        <v>271</v>
      </c>
      <c r="D77" s="12" t="s">
        <v>289</v>
      </c>
      <c r="E77" s="12" t="s">
        <v>305</v>
      </c>
      <c r="F77" s="12" t="s">
        <v>315</v>
      </c>
      <c r="G77" s="12" t="s">
        <v>336</v>
      </c>
      <c r="H77" s="12" t="s">
        <v>349</v>
      </c>
      <c r="I77" s="12" t="s">
        <v>362</v>
      </c>
      <c r="J77" s="12" t="n">
        <v>1</v>
      </c>
      <c r="K77" s="12" t="n">
        <v>0</v>
      </c>
      <c r="L77" s="12" t="n">
        <v>0</v>
      </c>
      <c r="M77" s="12" t="n">
        <v>0</v>
      </c>
      <c r="N77" s="12" t="n">
        <v>0</v>
      </c>
      <c r="O77" s="12" t="n">
        <v>0</v>
      </c>
      <c r="P77" s="12" t="n">
        <v>0</v>
      </c>
      <c r="Q77" s="12" t="n">
        <v>5</v>
      </c>
      <c r="R77" s="12" t="s">
        <v>404</v>
      </c>
      <c r="S77" s="12" t="n">
        <v>0</v>
      </c>
      <c r="T77" s="12" t="n">
        <v>0</v>
      </c>
      <c r="U77" s="12" t="n">
        <v>1</v>
      </c>
      <c r="V77" s="12" t="n">
        <v>0</v>
      </c>
      <c r="W77" s="12" t="n">
        <v>0</v>
      </c>
      <c r="X77" s="12" t="s">
        <v>424</v>
      </c>
      <c r="Y77" s="12" t="s">
        <v>431</v>
      </c>
      <c r="Z77" s="12" t="n">
        <v>1</v>
      </c>
      <c r="AA77" s="12" t="n">
        <v>0</v>
      </c>
      <c r="AB77" s="12" t="n">
        <v>1</v>
      </c>
      <c r="AC77" s="12" t="n">
        <v>1</v>
      </c>
      <c r="AD77" s="12" t="n">
        <v>0</v>
      </c>
      <c r="AE77" s="12" t="n">
        <v>1</v>
      </c>
      <c r="AF77" s="12" t="n">
        <v>0</v>
      </c>
      <c r="AG77" s="12" t="n">
        <v>0</v>
      </c>
      <c r="AH77" s="12" t="n">
        <v>0</v>
      </c>
      <c r="AI77" s="12" t="n">
        <v>1</v>
      </c>
      <c r="AJ77" s="12" t="n">
        <v>0</v>
      </c>
      <c r="AK77" s="12" t="n">
        <v>0</v>
      </c>
      <c r="AL77" s="12" t="n">
        <v>0</v>
      </c>
      <c r="AM77" s="12" t="n">
        <v>0</v>
      </c>
      <c r="AN77" s="12" t="n">
        <v>1</v>
      </c>
      <c r="AO77" s="12" t="n">
        <v>0</v>
      </c>
      <c r="AP77" s="12" t="n">
        <v>1</v>
      </c>
      <c r="AQ77" s="12" t="n">
        <v>0</v>
      </c>
      <c r="AR77" s="12" t="n">
        <v>1</v>
      </c>
      <c r="AS77" s="12" t="n">
        <v>0</v>
      </c>
      <c r="AT77" s="12" t="s">
        <v>483</v>
      </c>
      <c r="AU77" s="12" t="s">
        <v>356</v>
      </c>
      <c r="AV77" s="12" t="n">
        <v>0</v>
      </c>
      <c r="AW77" s="12" t="n">
        <v>1</v>
      </c>
      <c r="AX77" s="12" t="n">
        <v>0</v>
      </c>
      <c r="AY77" s="12" t="n">
        <v>1</v>
      </c>
      <c r="AZ77" s="12" t="n">
        <v>0</v>
      </c>
      <c r="BA77" s="12" t="n">
        <v>0</v>
      </c>
      <c r="BB77" s="12" t="n">
        <v>3</v>
      </c>
      <c r="BC77" s="12" t="n">
        <v>7</v>
      </c>
      <c r="BD77" s="12" t="n">
        <v>4</v>
      </c>
      <c r="BE77" s="12" t="n">
        <v>7</v>
      </c>
      <c r="BF77" s="12" t="n">
        <v>2</v>
      </c>
      <c r="BG77" s="12" t="n">
        <v>4</v>
      </c>
      <c r="BH77" s="12" t="n">
        <v>3</v>
      </c>
      <c r="BI77" s="12" t="n">
        <v>6</v>
      </c>
      <c r="BJ77" s="12" t="n">
        <v>4</v>
      </c>
      <c r="BK77" s="12" t="n">
        <v>3</v>
      </c>
      <c r="BL77" s="12" t="n">
        <v>5</v>
      </c>
      <c r="BM77" s="12" t="n">
        <v>4</v>
      </c>
      <c r="BN77" s="12" t="n">
        <v>3</v>
      </c>
      <c r="BO77" s="12" t="n">
        <v>2</v>
      </c>
      <c r="BP77" s="12" t="n">
        <v>1</v>
      </c>
      <c r="BQ77" s="12" t="n">
        <v>4</v>
      </c>
      <c r="BR77" s="12" t="n">
        <v>5</v>
      </c>
      <c r="BS77" s="12" t="n">
        <v>6</v>
      </c>
      <c r="BT77" s="12" t="s">
        <v>903</v>
      </c>
      <c r="BU77" s="12"/>
      <c r="BV77" s="12"/>
      <c r="BW77" s="16" t="n">
        <f aca="false">IF($R77="","",INDEX(Codes!$E$2:$E$108,MATCH("B1|"&amp;$R77,Codes!$A$2:$A$108,0)))</f>
        <v>6</v>
      </c>
      <c r="BX77" s="16" t="n">
        <f aca="false">IF($Y77="","",INDEX(Codes!$E$2:$E$108,MATCH("B4|"&amp;$Y77,Codes!$A$2:$A$108,0)))</f>
        <v>2</v>
      </c>
      <c r="BY77" s="16" t="n">
        <f aca="false">IF($I77="","",INDEX(Codes!$E$2:$E$108,MATCH("A7|"&amp;$I77,Codes!$A$2:$A$108,0)))</f>
        <v>2</v>
      </c>
      <c r="BZ77" s="16" t="n">
        <f aca="false">IF($AU77="","",INDEX(Codes!$E$2:$E$108,MATCH("B8|"&amp;$AU77,Codes!$A$2:$A$108,0)))</f>
        <v>0</v>
      </c>
      <c r="CA77" s="16" t="n">
        <f aca="false">IF($H77="","",INDEX(Codes!$E$2:$E$108,MATCH("A6|"&amp;$H77,Codes!$A$2:$A$108,0)))</f>
        <v>4</v>
      </c>
      <c r="CB77" s="16" t="n">
        <f aca="false">IF($X77="","",IF($X77="phone",1,0))</f>
        <v>1</v>
      </c>
      <c r="CC77" s="16" t="n">
        <f aca="false">IF($BC77="","",8-$BC77)</f>
        <v>1</v>
      </c>
      <c r="CD77" s="12" t="s">
        <v>643</v>
      </c>
      <c r="CE77" s="12" t="n">
        <v>-2.51</v>
      </c>
      <c r="CF77" s="12" t="n">
        <v>-1.008</v>
      </c>
    </row>
    <row r="78" customFormat="false" ht="15" hidden="false" customHeight="false" outlineLevel="0" collapsed="false">
      <c r="A78" s="12" t="s">
        <v>904</v>
      </c>
      <c r="B78" s="12" t="s">
        <v>905</v>
      </c>
      <c r="C78" s="12" t="s">
        <v>271</v>
      </c>
      <c r="D78" s="12" t="s">
        <v>291</v>
      </c>
      <c r="E78" s="12" t="s">
        <v>311</v>
      </c>
      <c r="F78" s="12" t="s">
        <v>324</v>
      </c>
      <c r="G78" s="12" t="s">
        <v>339</v>
      </c>
      <c r="H78" s="12" t="s">
        <v>353</v>
      </c>
      <c r="I78" s="12" t="s">
        <v>365</v>
      </c>
      <c r="J78" s="12" t="n">
        <v>0</v>
      </c>
      <c r="K78" s="12" t="n">
        <v>0</v>
      </c>
      <c r="L78" s="12" t="n">
        <v>0</v>
      </c>
      <c r="M78" s="12" t="n">
        <v>1</v>
      </c>
      <c r="N78" s="12" t="n">
        <v>0</v>
      </c>
      <c r="O78" s="12" t="n">
        <v>0</v>
      </c>
      <c r="P78" s="12" t="n">
        <v>0</v>
      </c>
      <c r="Q78" s="12" t="n">
        <v>6</v>
      </c>
      <c r="R78" s="12" t="s">
        <v>404</v>
      </c>
      <c r="S78" s="12" t="n">
        <v>1</v>
      </c>
      <c r="T78" s="12" t="n">
        <v>0</v>
      </c>
      <c r="U78" s="12" t="n">
        <v>1</v>
      </c>
      <c r="V78" s="12" t="n">
        <v>0</v>
      </c>
      <c r="W78" s="12" t="n">
        <v>0</v>
      </c>
      <c r="X78" s="12" t="s">
        <v>424</v>
      </c>
      <c r="Y78" s="12" t="s">
        <v>428</v>
      </c>
      <c r="Z78" s="12" t="n">
        <v>1</v>
      </c>
      <c r="AA78" s="12" t="n">
        <v>1</v>
      </c>
      <c r="AB78" s="12" t="n">
        <v>1</v>
      </c>
      <c r="AC78" s="12" t="n">
        <v>0</v>
      </c>
      <c r="AD78" s="12" t="n">
        <v>0</v>
      </c>
      <c r="AE78" s="12" t="n">
        <v>0</v>
      </c>
      <c r="AF78" s="12" t="n">
        <v>0</v>
      </c>
      <c r="AG78" s="12" t="n">
        <v>0</v>
      </c>
      <c r="AH78" s="12" t="n">
        <v>1</v>
      </c>
      <c r="AI78" s="12" t="n">
        <v>0</v>
      </c>
      <c r="AJ78" s="12" t="n">
        <v>0</v>
      </c>
      <c r="AK78" s="12" t="n">
        <v>0</v>
      </c>
      <c r="AL78" s="12" t="n">
        <v>0</v>
      </c>
      <c r="AM78" s="12" t="n">
        <v>1</v>
      </c>
      <c r="AN78" s="12" t="n">
        <v>0</v>
      </c>
      <c r="AO78" s="12" t="n">
        <v>0</v>
      </c>
      <c r="AP78" s="12" t="n">
        <v>1</v>
      </c>
      <c r="AQ78" s="12" t="n">
        <v>0</v>
      </c>
      <c r="AR78" s="12" t="n">
        <v>0</v>
      </c>
      <c r="AS78" s="12" t="n">
        <v>0</v>
      </c>
      <c r="AT78" s="12" t="s">
        <v>483</v>
      </c>
      <c r="AU78" s="12" t="s">
        <v>356</v>
      </c>
      <c r="AV78" s="12" t="n">
        <v>0</v>
      </c>
      <c r="AW78" s="12" t="n">
        <v>1</v>
      </c>
      <c r="AX78" s="12" t="n">
        <v>0</v>
      </c>
      <c r="AY78" s="12" t="n">
        <v>1</v>
      </c>
      <c r="AZ78" s="12" t="n">
        <v>0</v>
      </c>
      <c r="BA78" s="12" t="n">
        <v>0</v>
      </c>
      <c r="BB78" s="12" t="n">
        <v>5</v>
      </c>
      <c r="BC78" s="12" t="n">
        <v>4</v>
      </c>
      <c r="BD78" s="12" t="n">
        <v>4</v>
      </c>
      <c r="BE78" s="12" t="n">
        <v>5</v>
      </c>
      <c r="BF78" s="12" t="n">
        <v>2</v>
      </c>
      <c r="BG78" s="12" t="n">
        <v>5</v>
      </c>
      <c r="BH78" s="12" t="n">
        <v>2</v>
      </c>
      <c r="BI78" s="12" t="n">
        <v>6</v>
      </c>
      <c r="BJ78" s="12" t="n">
        <v>5</v>
      </c>
      <c r="BK78" s="12" t="n">
        <v>3</v>
      </c>
      <c r="BL78" s="12" t="n">
        <v>4</v>
      </c>
      <c r="BM78" s="12" t="n">
        <v>4</v>
      </c>
      <c r="BN78" s="12" t="n">
        <v>3</v>
      </c>
      <c r="BO78" s="12" t="n">
        <v>1</v>
      </c>
      <c r="BP78" s="12" t="n">
        <v>2</v>
      </c>
      <c r="BQ78" s="12" t="n">
        <v>4</v>
      </c>
      <c r="BR78" s="12" t="n">
        <v>5</v>
      </c>
      <c r="BS78" s="12" t="n">
        <v>6</v>
      </c>
      <c r="BT78" s="12" t="s">
        <v>906</v>
      </c>
      <c r="BU78" s="12" t="s">
        <v>799</v>
      </c>
      <c r="BV78" s="12" t="s">
        <v>765</v>
      </c>
      <c r="BW78" s="16" t="n">
        <f aca="false">IF($R78="","",INDEX(Codes!$E$2:$E$108,MATCH("B1|"&amp;$R78,Codes!$A$2:$A$108,0)))</f>
        <v>6</v>
      </c>
      <c r="BX78" s="16" t="n">
        <f aca="false">IF($Y78="","",INDEX(Codes!$E$2:$E$108,MATCH("B4|"&amp;$Y78,Codes!$A$2:$A$108,0)))</f>
        <v>1</v>
      </c>
      <c r="BY78" s="16" t="n">
        <f aca="false">IF($I78="","",INDEX(Codes!$E$2:$E$108,MATCH("A7|"&amp;$I78,Codes!$A$2:$A$108,0)))</f>
        <v>3</v>
      </c>
      <c r="BZ78" s="16" t="n">
        <f aca="false">IF($AU78="","",INDEX(Codes!$E$2:$E$108,MATCH("B8|"&amp;$AU78,Codes!$A$2:$A$108,0)))</f>
        <v>0</v>
      </c>
      <c r="CA78" s="16" t="n">
        <f aca="false">IF($H78="","",INDEX(Codes!$E$2:$E$108,MATCH("A6|"&amp;$H78,Codes!$A$2:$A$108,0)))</f>
        <v>6</v>
      </c>
      <c r="CB78" s="16" t="n">
        <f aca="false">IF($X78="","",IF($X78="phone",1,0))</f>
        <v>1</v>
      </c>
      <c r="CC78" s="16" t="n">
        <f aca="false">IF($BC78="","",8-$BC78)</f>
        <v>4</v>
      </c>
      <c r="CD78" s="12" t="s">
        <v>643</v>
      </c>
      <c r="CE78" s="12" t="n">
        <v>-3.472</v>
      </c>
      <c r="CF78" s="12" t="n">
        <v>-1.647</v>
      </c>
    </row>
    <row r="79" customFormat="false" ht="15" hidden="false" customHeight="false" outlineLevel="0" collapsed="false">
      <c r="A79" s="12" t="s">
        <v>907</v>
      </c>
      <c r="B79" s="12" t="s">
        <v>908</v>
      </c>
      <c r="C79" s="12" t="s">
        <v>271</v>
      </c>
      <c r="D79" s="12" t="s">
        <v>289</v>
      </c>
      <c r="E79" s="12" t="s">
        <v>308</v>
      </c>
      <c r="F79" s="12" t="s">
        <v>318</v>
      </c>
      <c r="G79" s="12" t="s">
        <v>333</v>
      </c>
      <c r="H79" s="12" t="s">
        <v>351</v>
      </c>
      <c r="I79" s="12" t="s">
        <v>359</v>
      </c>
      <c r="J79" s="12" t="n">
        <v>1</v>
      </c>
      <c r="K79" s="12" t="n">
        <v>0</v>
      </c>
      <c r="L79" s="12" t="n">
        <v>0</v>
      </c>
      <c r="M79" s="12" t="n">
        <v>0</v>
      </c>
      <c r="N79" s="12" t="n">
        <v>0</v>
      </c>
      <c r="O79" s="12" t="n">
        <v>0</v>
      </c>
      <c r="P79" s="12" t="n">
        <v>0</v>
      </c>
      <c r="Q79" s="12" t="n">
        <v>4</v>
      </c>
      <c r="R79" s="12" t="s">
        <v>404</v>
      </c>
      <c r="S79" s="12" t="n">
        <v>1</v>
      </c>
      <c r="T79" s="12" t="n">
        <v>0</v>
      </c>
      <c r="U79" s="12" t="n">
        <v>0</v>
      </c>
      <c r="V79" s="12" t="n">
        <v>1</v>
      </c>
      <c r="W79" s="12" t="n">
        <v>0</v>
      </c>
      <c r="X79" s="12" t="s">
        <v>424</v>
      </c>
      <c r="Y79" s="12" t="s">
        <v>431</v>
      </c>
      <c r="Z79" s="12" t="n">
        <v>1</v>
      </c>
      <c r="AA79" s="12" t="n">
        <v>1</v>
      </c>
      <c r="AB79" s="12" t="n">
        <v>1</v>
      </c>
      <c r="AC79" s="12" t="n">
        <v>1</v>
      </c>
      <c r="AD79" s="12" t="n">
        <v>1</v>
      </c>
      <c r="AE79" s="12" t="n">
        <v>0</v>
      </c>
      <c r="AF79" s="12" t="n">
        <v>0</v>
      </c>
      <c r="AG79" s="12" t="n">
        <v>0</v>
      </c>
      <c r="AH79" s="12" t="n">
        <v>0</v>
      </c>
      <c r="AI79" s="12" t="n">
        <v>0</v>
      </c>
      <c r="AJ79" s="12" t="n">
        <v>0</v>
      </c>
      <c r="AK79" s="12" t="n">
        <v>0</v>
      </c>
      <c r="AL79" s="12" t="n">
        <v>0</v>
      </c>
      <c r="AM79" s="12" t="n">
        <v>0</v>
      </c>
      <c r="AN79" s="12" t="n">
        <v>0</v>
      </c>
      <c r="AO79" s="12" t="n">
        <v>0</v>
      </c>
      <c r="AP79" s="12" t="n">
        <v>1</v>
      </c>
      <c r="AQ79" s="12" t="n">
        <v>0</v>
      </c>
      <c r="AR79" s="12" t="n">
        <v>1</v>
      </c>
      <c r="AS79" s="12" t="n">
        <v>0</v>
      </c>
      <c r="AT79" s="12" t="s">
        <v>483</v>
      </c>
      <c r="AU79" s="12" t="s">
        <v>398</v>
      </c>
      <c r="AV79" s="12" t="n">
        <v>0</v>
      </c>
      <c r="AW79" s="12" t="n">
        <v>0</v>
      </c>
      <c r="AX79" s="12" t="n">
        <v>1</v>
      </c>
      <c r="AY79" s="12" t="n">
        <v>1</v>
      </c>
      <c r="AZ79" s="12" t="n">
        <v>0</v>
      </c>
      <c r="BA79" s="12" t="n">
        <v>0</v>
      </c>
      <c r="BB79" s="12" t="n">
        <v>4</v>
      </c>
      <c r="BC79" s="12" t="n">
        <v>3</v>
      </c>
      <c r="BD79" s="12" t="n">
        <v>5</v>
      </c>
      <c r="BE79" s="12" t="n">
        <v>5</v>
      </c>
      <c r="BF79" s="12" t="n">
        <v>2</v>
      </c>
      <c r="BG79" s="12" t="n">
        <v>2</v>
      </c>
      <c r="BH79" s="12" t="n">
        <v>2</v>
      </c>
      <c r="BI79" s="12" t="n">
        <v>6</v>
      </c>
      <c r="BJ79" s="12" t="n">
        <v>6</v>
      </c>
      <c r="BK79" s="12" t="n">
        <v>4</v>
      </c>
      <c r="BL79" s="12" t="n">
        <v>5</v>
      </c>
      <c r="BM79" s="12" t="n">
        <v>2</v>
      </c>
      <c r="BN79" s="12" t="n">
        <v>2</v>
      </c>
      <c r="BO79" s="12" t="n">
        <v>1</v>
      </c>
      <c r="BP79" s="12" t="n">
        <v>3</v>
      </c>
      <c r="BQ79" s="12" t="n">
        <v>4</v>
      </c>
      <c r="BR79" s="12" t="n">
        <v>5</v>
      </c>
      <c r="BS79" s="12" t="n">
        <v>6</v>
      </c>
      <c r="BT79" s="12" t="s">
        <v>909</v>
      </c>
      <c r="BU79" s="12" t="s">
        <v>678</v>
      </c>
      <c r="BV79" s="12"/>
      <c r="BW79" s="16" t="n">
        <f aca="false">IF($R79="","",INDEX(Codes!$E$2:$E$108,MATCH("B1|"&amp;$R79,Codes!$A$2:$A$108,0)))</f>
        <v>6</v>
      </c>
      <c r="BX79" s="16" t="n">
        <f aca="false">IF($Y79="","",INDEX(Codes!$E$2:$E$108,MATCH("B4|"&amp;$Y79,Codes!$A$2:$A$108,0)))</f>
        <v>2</v>
      </c>
      <c r="BY79" s="16" t="n">
        <f aca="false">IF($I79="","",INDEX(Codes!$E$2:$E$108,MATCH("A7|"&amp;$I79,Codes!$A$2:$A$108,0)))</f>
        <v>1</v>
      </c>
      <c r="BZ79" s="16" t="n">
        <f aca="false">IF($AU79="","",INDEX(Codes!$E$2:$E$108,MATCH("B8|"&amp;$AU79,Codes!$A$2:$A$108,0)))</f>
        <v>3</v>
      </c>
      <c r="CA79" s="16" t="n">
        <f aca="false">IF($H79="","",INDEX(Codes!$E$2:$E$108,MATCH("A6|"&amp;$H79,Codes!$A$2:$A$108,0)))</f>
        <v>5</v>
      </c>
      <c r="CB79" s="16" t="n">
        <f aca="false">IF($X79="","",IF($X79="phone",1,0))</f>
        <v>1</v>
      </c>
      <c r="CC79" s="16" t="n">
        <f aca="false">IF($BC79="","",8-$BC79)</f>
        <v>5</v>
      </c>
      <c r="CD79" s="12" t="s">
        <v>643</v>
      </c>
      <c r="CE79" s="12" t="n">
        <v>-2.132</v>
      </c>
      <c r="CF79" s="12" t="n">
        <v>-1.576</v>
      </c>
    </row>
    <row r="80" customFormat="false" ht="15" hidden="false" customHeight="false" outlineLevel="0" collapsed="false">
      <c r="A80" s="12" t="s">
        <v>910</v>
      </c>
      <c r="B80" s="12" t="s">
        <v>911</v>
      </c>
      <c r="C80" s="12" t="s">
        <v>283</v>
      </c>
      <c r="D80" s="12" t="s">
        <v>297</v>
      </c>
      <c r="E80" s="12" t="s">
        <v>305</v>
      </c>
      <c r="F80" s="12" t="s">
        <v>318</v>
      </c>
      <c r="G80" s="12" t="s">
        <v>336</v>
      </c>
      <c r="H80" s="12" t="s">
        <v>343</v>
      </c>
      <c r="I80" s="12" t="s">
        <v>356</v>
      </c>
      <c r="J80" s="12" t="n">
        <v>1</v>
      </c>
      <c r="K80" s="12" t="n">
        <v>0</v>
      </c>
      <c r="L80" s="12" t="n">
        <v>0</v>
      </c>
      <c r="M80" s="12" t="n">
        <v>0</v>
      </c>
      <c r="N80" s="12" t="n">
        <v>0</v>
      </c>
      <c r="O80" s="12" t="n">
        <v>0</v>
      </c>
      <c r="P80" s="12" t="n">
        <v>0</v>
      </c>
      <c r="Q80" s="12" t="n">
        <v>4</v>
      </c>
      <c r="R80" s="12" t="s">
        <v>401</v>
      </c>
      <c r="S80" s="12" t="n">
        <v>1</v>
      </c>
      <c r="T80" s="12" t="n">
        <v>0</v>
      </c>
      <c r="U80" s="12" t="n">
        <v>1</v>
      </c>
      <c r="V80" s="12" t="n">
        <v>0</v>
      </c>
      <c r="W80" s="12" t="n">
        <v>0</v>
      </c>
      <c r="X80" s="12" t="s">
        <v>407</v>
      </c>
      <c r="Y80" s="12" t="s">
        <v>440</v>
      </c>
      <c r="Z80" s="12" t="n">
        <v>1</v>
      </c>
      <c r="AA80" s="12" t="n">
        <v>1</v>
      </c>
      <c r="AB80" s="12" t="n">
        <v>1</v>
      </c>
      <c r="AC80" s="12" t="n">
        <v>1</v>
      </c>
      <c r="AD80" s="12" t="n">
        <v>0</v>
      </c>
      <c r="AE80" s="12" t="n">
        <v>1</v>
      </c>
      <c r="AF80" s="12" t="n">
        <v>1</v>
      </c>
      <c r="AG80" s="12" t="n">
        <v>1</v>
      </c>
      <c r="AH80" s="12" t="n">
        <v>0</v>
      </c>
      <c r="AI80" s="12" t="n">
        <v>0</v>
      </c>
      <c r="AJ80" s="12" t="n">
        <v>0</v>
      </c>
      <c r="AK80" s="12" t="n">
        <v>0</v>
      </c>
      <c r="AL80" s="12" t="n">
        <v>1</v>
      </c>
      <c r="AM80" s="12" t="n">
        <v>0</v>
      </c>
      <c r="AN80" s="12" t="n">
        <v>0</v>
      </c>
      <c r="AO80" s="12" t="n">
        <v>0</v>
      </c>
      <c r="AP80" s="12" t="n">
        <v>0</v>
      </c>
      <c r="AQ80" s="12" t="n">
        <v>1</v>
      </c>
      <c r="AR80" s="12" t="n">
        <v>1</v>
      </c>
      <c r="AS80" s="12" t="n">
        <v>0</v>
      </c>
      <c r="AT80" s="12" t="s">
        <v>507</v>
      </c>
      <c r="AU80" s="12" t="s">
        <v>395</v>
      </c>
      <c r="AV80" s="12" t="n">
        <v>0</v>
      </c>
      <c r="AW80" s="12" t="n">
        <v>0</v>
      </c>
      <c r="AX80" s="12" t="n">
        <v>0</v>
      </c>
      <c r="AY80" s="12" t="n">
        <v>1</v>
      </c>
      <c r="AZ80" s="12" t="n">
        <v>1</v>
      </c>
      <c r="BA80" s="12" t="n">
        <v>0</v>
      </c>
      <c r="BB80" s="12" t="n">
        <v>5</v>
      </c>
      <c r="BC80" s="12" t="n">
        <v>3</v>
      </c>
      <c r="BD80" s="12" t="n">
        <v>3</v>
      </c>
      <c r="BE80" s="12" t="n">
        <v>7</v>
      </c>
      <c r="BF80" s="12" t="n">
        <v>3</v>
      </c>
      <c r="BG80" s="12" t="n">
        <v>4</v>
      </c>
      <c r="BH80" s="12" t="n">
        <v>4</v>
      </c>
      <c r="BI80" s="12" t="n">
        <v>7</v>
      </c>
      <c r="BJ80" s="12" t="n">
        <v>5</v>
      </c>
      <c r="BK80" s="12" t="n">
        <v>1</v>
      </c>
      <c r="BL80" s="12" t="n">
        <v>7</v>
      </c>
      <c r="BM80" s="12" t="n">
        <v>3</v>
      </c>
      <c r="BN80" s="12" t="n">
        <v>1</v>
      </c>
      <c r="BO80" s="12" t="n">
        <v>4</v>
      </c>
      <c r="BP80" s="12" t="n">
        <v>2</v>
      </c>
      <c r="BQ80" s="12" t="n">
        <v>3</v>
      </c>
      <c r="BR80" s="12" t="n">
        <v>5</v>
      </c>
      <c r="BS80" s="12" t="n">
        <v>6</v>
      </c>
      <c r="BT80" s="12" t="s">
        <v>912</v>
      </c>
      <c r="BU80" s="12"/>
      <c r="BV80" s="12"/>
      <c r="BW80" s="16" t="n">
        <f aca="false">IF($R80="","",INDEX(Codes!$E$2:$E$108,MATCH("B1|"&amp;$R80,Codes!$A$2:$A$108,0)))</f>
        <v>5</v>
      </c>
      <c r="BX80" s="16" t="n">
        <f aca="false">IF($Y80="","",INDEX(Codes!$E$2:$E$108,MATCH("B4|"&amp;$Y80,Codes!$A$2:$A$108,0)))</f>
        <v>5</v>
      </c>
      <c r="BY80" s="16" t="n">
        <f aca="false">IF($I80="","",INDEX(Codes!$E$2:$E$108,MATCH("A7|"&amp;$I80,Codes!$A$2:$A$108,0)))</f>
        <v>0</v>
      </c>
      <c r="BZ80" s="16" t="n">
        <f aca="false">IF($AU80="","",INDEX(Codes!$E$2:$E$108,MATCH("B8|"&amp;$AU80,Codes!$A$2:$A$108,0)))</f>
        <v>2</v>
      </c>
      <c r="CA80" s="16" t="n">
        <f aca="false">IF($H80="","",INDEX(Codes!$E$2:$E$108,MATCH("A6|"&amp;$H80,Codes!$A$2:$A$108,0)))</f>
        <v>1</v>
      </c>
      <c r="CB80" s="16" t="n">
        <f aca="false">IF($X80="","",IF($X80="phone",1,0))</f>
        <v>0</v>
      </c>
      <c r="CC80" s="16" t="n">
        <f aca="false">IF($BC80="","",8-$BC80)</f>
        <v>5</v>
      </c>
      <c r="CD80" s="12" t="s">
        <v>614</v>
      </c>
      <c r="CE80" s="12" t="n">
        <v>-0.813</v>
      </c>
      <c r="CF80" s="12" t="n">
        <v>1.191</v>
      </c>
    </row>
    <row r="81" customFormat="false" ht="15" hidden="false" customHeight="false" outlineLevel="0" collapsed="false">
      <c r="A81" s="12" t="s">
        <v>913</v>
      </c>
      <c r="B81" s="12" t="s">
        <v>914</v>
      </c>
      <c r="C81" s="12" t="s">
        <v>271</v>
      </c>
      <c r="D81" s="12" t="s">
        <v>291</v>
      </c>
      <c r="E81" s="12" t="s">
        <v>305</v>
      </c>
      <c r="F81" s="12" t="s">
        <v>324</v>
      </c>
      <c r="G81" s="12" t="s">
        <v>333</v>
      </c>
      <c r="H81" s="12" t="s">
        <v>349</v>
      </c>
      <c r="I81" s="12" t="s">
        <v>359</v>
      </c>
      <c r="J81" s="12" t="n">
        <v>1</v>
      </c>
      <c r="K81" s="12" t="n">
        <v>0</v>
      </c>
      <c r="L81" s="12" t="n">
        <v>0</v>
      </c>
      <c r="M81" s="12" t="n">
        <v>0</v>
      </c>
      <c r="N81" s="12" t="n">
        <v>0</v>
      </c>
      <c r="O81" s="12" t="n">
        <v>0</v>
      </c>
      <c r="P81" s="12" t="n">
        <v>0</v>
      </c>
      <c r="Q81" s="12" t="n">
        <v>7</v>
      </c>
      <c r="R81" s="12" t="s">
        <v>404</v>
      </c>
      <c r="S81" s="12" t="n">
        <v>1</v>
      </c>
      <c r="T81" s="12" t="n">
        <v>0</v>
      </c>
      <c r="U81" s="12" t="n">
        <v>0</v>
      </c>
      <c r="V81" s="12" t="n">
        <v>1</v>
      </c>
      <c r="W81" s="12" t="n">
        <v>0</v>
      </c>
      <c r="X81" s="12" t="s">
        <v>424</v>
      </c>
      <c r="Y81" s="12" t="s">
        <v>431</v>
      </c>
      <c r="Z81" s="12" t="n">
        <v>1</v>
      </c>
      <c r="AA81" s="12" t="n">
        <v>1</v>
      </c>
      <c r="AB81" s="12" t="n">
        <v>1</v>
      </c>
      <c r="AC81" s="12" t="n">
        <v>1</v>
      </c>
      <c r="AD81" s="12" t="n">
        <v>0</v>
      </c>
      <c r="AE81" s="12" t="n">
        <v>1</v>
      </c>
      <c r="AF81" s="12" t="n">
        <v>1</v>
      </c>
      <c r="AG81" s="12" t="n">
        <v>0</v>
      </c>
      <c r="AH81" s="12" t="n">
        <v>1</v>
      </c>
      <c r="AI81" s="12" t="n">
        <v>0</v>
      </c>
      <c r="AJ81" s="12" t="n">
        <v>0</v>
      </c>
      <c r="AK81" s="12" t="n">
        <v>0</v>
      </c>
      <c r="AL81" s="12" t="n">
        <v>0</v>
      </c>
      <c r="AM81" s="12" t="n">
        <v>0</v>
      </c>
      <c r="AN81" s="12" t="n">
        <v>1</v>
      </c>
      <c r="AO81" s="12" t="n">
        <v>0</v>
      </c>
      <c r="AP81" s="12" t="n">
        <v>1</v>
      </c>
      <c r="AQ81" s="12" t="n">
        <v>0</v>
      </c>
      <c r="AR81" s="12" t="n">
        <v>0</v>
      </c>
      <c r="AS81" s="12" t="n">
        <v>0</v>
      </c>
      <c r="AT81" s="12" t="s">
        <v>480</v>
      </c>
      <c r="AU81" s="12" t="s">
        <v>395</v>
      </c>
      <c r="AV81" s="12" t="n">
        <v>0</v>
      </c>
      <c r="AW81" s="12" t="n">
        <v>1</v>
      </c>
      <c r="AX81" s="12" t="n">
        <v>0</v>
      </c>
      <c r="AY81" s="12" t="n">
        <v>1</v>
      </c>
      <c r="AZ81" s="12" t="n">
        <v>1</v>
      </c>
      <c r="BA81" s="12" t="n">
        <v>0</v>
      </c>
      <c r="BB81" s="12" t="n">
        <v>6</v>
      </c>
      <c r="BC81" s="12" t="n">
        <v>3</v>
      </c>
      <c r="BD81" s="12" t="n">
        <v>5</v>
      </c>
      <c r="BE81" s="12" t="n">
        <v>4</v>
      </c>
      <c r="BF81" s="12" t="n">
        <v>1</v>
      </c>
      <c r="BG81" s="12" t="n">
        <v>2</v>
      </c>
      <c r="BH81" s="12" t="n">
        <v>5</v>
      </c>
      <c r="BI81" s="12" t="n">
        <v>4</v>
      </c>
      <c r="BJ81" s="12" t="n">
        <v>5</v>
      </c>
      <c r="BK81" s="12" t="n">
        <v>6</v>
      </c>
      <c r="BL81" s="12" t="n">
        <v>4</v>
      </c>
      <c r="BM81" s="12" t="n">
        <v>2</v>
      </c>
      <c r="BN81" s="12" t="n">
        <v>3</v>
      </c>
      <c r="BO81" s="12" t="n">
        <v>1</v>
      </c>
      <c r="BP81" s="12" t="n">
        <v>2</v>
      </c>
      <c r="BQ81" s="12" t="n">
        <v>4</v>
      </c>
      <c r="BR81" s="12" t="n">
        <v>6</v>
      </c>
      <c r="BS81" s="12" t="n">
        <v>5</v>
      </c>
      <c r="BT81" s="12" t="s">
        <v>915</v>
      </c>
      <c r="BU81" s="12"/>
      <c r="BV81" s="12" t="s">
        <v>916</v>
      </c>
      <c r="BW81" s="16" t="n">
        <f aca="false">IF($R81="","",INDEX(Codes!$E$2:$E$108,MATCH("B1|"&amp;$R81,Codes!$A$2:$A$108,0)))</f>
        <v>6</v>
      </c>
      <c r="BX81" s="16" t="n">
        <f aca="false">IF($Y81="","",INDEX(Codes!$E$2:$E$108,MATCH("B4|"&amp;$Y81,Codes!$A$2:$A$108,0)))</f>
        <v>2</v>
      </c>
      <c r="BY81" s="16" t="n">
        <f aca="false">IF($I81="","",INDEX(Codes!$E$2:$E$108,MATCH("A7|"&amp;$I81,Codes!$A$2:$A$108,0)))</f>
        <v>1</v>
      </c>
      <c r="BZ81" s="16" t="n">
        <f aca="false">IF($AU81="","",INDEX(Codes!$E$2:$E$108,MATCH("B8|"&amp;$AU81,Codes!$A$2:$A$108,0)))</f>
        <v>2</v>
      </c>
      <c r="CA81" s="16" t="n">
        <f aca="false">IF($H81="","",INDEX(Codes!$E$2:$E$108,MATCH("A6|"&amp;$H81,Codes!$A$2:$A$108,0)))</f>
        <v>4</v>
      </c>
      <c r="CB81" s="16" t="n">
        <f aca="false">IF($X81="","",IF($X81="phone",1,0))</f>
        <v>1</v>
      </c>
      <c r="CC81" s="16" t="n">
        <f aca="false">IF($BC81="","",8-$BC81)</f>
        <v>5</v>
      </c>
      <c r="CD81" s="12" t="s">
        <v>643</v>
      </c>
      <c r="CE81" s="12" t="n">
        <v>-3.175</v>
      </c>
      <c r="CF81" s="12" t="n">
        <v>-0.461</v>
      </c>
    </row>
    <row r="82" customFormat="false" ht="15" hidden="false" customHeight="false" outlineLevel="0" collapsed="false">
      <c r="A82" s="12" t="s">
        <v>917</v>
      </c>
      <c r="B82" s="12" t="s">
        <v>918</v>
      </c>
      <c r="C82" s="12" t="s">
        <v>271</v>
      </c>
      <c r="D82" s="12" t="s">
        <v>295</v>
      </c>
      <c r="E82" s="12" t="s">
        <v>308</v>
      </c>
      <c r="F82" s="12" t="s">
        <v>315</v>
      </c>
      <c r="G82" s="12" t="s">
        <v>333</v>
      </c>
      <c r="H82" s="12" t="s">
        <v>349</v>
      </c>
      <c r="I82" s="12" t="s">
        <v>368</v>
      </c>
      <c r="J82" s="12" t="n">
        <v>1</v>
      </c>
      <c r="K82" s="12" t="n">
        <v>0</v>
      </c>
      <c r="L82" s="12" t="n">
        <v>0</v>
      </c>
      <c r="M82" s="12" t="n">
        <v>0</v>
      </c>
      <c r="N82" s="12" t="n">
        <v>0</v>
      </c>
      <c r="O82" s="12" t="n">
        <v>0</v>
      </c>
      <c r="P82" s="12" t="n">
        <v>0</v>
      </c>
      <c r="Q82" s="12" t="n">
        <v>4</v>
      </c>
      <c r="R82" s="12" t="s">
        <v>343</v>
      </c>
      <c r="S82" s="12" t="n">
        <v>1</v>
      </c>
      <c r="T82" s="12" t="n">
        <v>0</v>
      </c>
      <c r="U82" s="12" t="n">
        <v>1</v>
      </c>
      <c r="V82" s="12" t="n">
        <v>1</v>
      </c>
      <c r="W82" s="12" t="n">
        <v>0</v>
      </c>
      <c r="X82" s="12" t="s">
        <v>424</v>
      </c>
      <c r="Y82" s="12" t="s">
        <v>437</v>
      </c>
      <c r="Z82" s="12" t="n">
        <v>1</v>
      </c>
      <c r="AA82" s="12" t="n">
        <v>0</v>
      </c>
      <c r="AB82" s="12" t="n">
        <v>0</v>
      </c>
      <c r="AC82" s="12" t="n">
        <v>1</v>
      </c>
      <c r="AD82" s="12" t="n">
        <v>0</v>
      </c>
      <c r="AE82" s="12" t="n">
        <v>0</v>
      </c>
      <c r="AF82" s="12" t="n">
        <v>0</v>
      </c>
      <c r="AG82" s="12" t="n">
        <v>1</v>
      </c>
      <c r="AH82" s="12" t="n">
        <v>1</v>
      </c>
      <c r="AI82" s="12" t="n">
        <v>1</v>
      </c>
      <c r="AJ82" s="12" t="n">
        <v>0</v>
      </c>
      <c r="AK82" s="12" t="n">
        <v>0</v>
      </c>
      <c r="AL82" s="12" t="n">
        <v>0</v>
      </c>
      <c r="AM82" s="12" t="n">
        <v>0</v>
      </c>
      <c r="AN82" s="12" t="n">
        <v>0</v>
      </c>
      <c r="AO82" s="12" t="n">
        <v>0</v>
      </c>
      <c r="AP82" s="12" t="n">
        <v>1</v>
      </c>
      <c r="AQ82" s="12" t="n">
        <v>0</v>
      </c>
      <c r="AR82" s="12" t="n">
        <v>0</v>
      </c>
      <c r="AS82" s="12" t="n">
        <v>0</v>
      </c>
      <c r="AT82" s="12" t="s">
        <v>480</v>
      </c>
      <c r="AU82" s="12" t="s">
        <v>395</v>
      </c>
      <c r="AV82" s="12" t="n">
        <v>0</v>
      </c>
      <c r="AW82" s="12" t="n">
        <v>1</v>
      </c>
      <c r="AX82" s="12" t="n">
        <v>1</v>
      </c>
      <c r="AY82" s="12" t="n">
        <v>1</v>
      </c>
      <c r="AZ82" s="12" t="n">
        <v>1</v>
      </c>
      <c r="BA82" s="12" t="n">
        <v>0</v>
      </c>
      <c r="BB82" s="12" t="n">
        <v>3</v>
      </c>
      <c r="BC82" s="12" t="n">
        <v>5</v>
      </c>
      <c r="BD82" s="12" t="n">
        <v>4</v>
      </c>
      <c r="BE82" s="12" t="n">
        <v>4</v>
      </c>
      <c r="BF82" s="12" t="n">
        <v>3</v>
      </c>
      <c r="BG82" s="12" t="n">
        <v>3</v>
      </c>
      <c r="BH82" s="12" t="n">
        <v>5</v>
      </c>
      <c r="BI82" s="12" t="n">
        <v>4</v>
      </c>
      <c r="BJ82" s="12" t="n">
        <v>5</v>
      </c>
      <c r="BK82" s="12" t="n">
        <v>4</v>
      </c>
      <c r="BL82" s="12" t="n">
        <v>3</v>
      </c>
      <c r="BM82" s="12" t="n">
        <v>3</v>
      </c>
      <c r="BN82" s="12" t="n">
        <v>3</v>
      </c>
      <c r="BO82" s="12" t="n">
        <v>2</v>
      </c>
      <c r="BP82" s="12" t="n">
        <v>5</v>
      </c>
      <c r="BQ82" s="12" t="n">
        <v>6</v>
      </c>
      <c r="BR82" s="12" t="n">
        <v>1</v>
      </c>
      <c r="BS82" s="12" t="n">
        <v>4</v>
      </c>
      <c r="BT82" s="12" t="s">
        <v>919</v>
      </c>
      <c r="BU82" s="12"/>
      <c r="BV82" s="12"/>
      <c r="BW82" s="16" t="n">
        <f aca="false">IF($R82="","",INDEX(Codes!$E$2:$E$108,MATCH("B1|"&amp;$R82,Codes!$A$2:$A$108,0)))</f>
        <v>2</v>
      </c>
      <c r="BX82" s="16" t="n">
        <f aca="false">IF($Y82="","",INDEX(Codes!$E$2:$E$108,MATCH("B4|"&amp;$Y82,Codes!$A$2:$A$108,0)))</f>
        <v>4</v>
      </c>
      <c r="BY82" s="16" t="n">
        <f aca="false">IF($I82="","",INDEX(Codes!$E$2:$E$108,MATCH("A7|"&amp;$I82,Codes!$A$2:$A$108,0)))</f>
        <v>4</v>
      </c>
      <c r="BZ82" s="16" t="n">
        <f aca="false">IF($AU82="","",INDEX(Codes!$E$2:$E$108,MATCH("B8|"&amp;$AU82,Codes!$A$2:$A$108,0)))</f>
        <v>2</v>
      </c>
      <c r="CA82" s="16" t="n">
        <f aca="false">IF($H82="","",INDEX(Codes!$E$2:$E$108,MATCH("A6|"&amp;$H82,Codes!$A$2:$A$108,0)))</f>
        <v>4</v>
      </c>
      <c r="CB82" s="16" t="n">
        <f aca="false">IF($X82="","",IF($X82="phone",1,0))</f>
        <v>1</v>
      </c>
      <c r="CC82" s="16" t="n">
        <f aca="false">IF($BC82="","",8-$BC82)</f>
        <v>3</v>
      </c>
      <c r="CD82" s="12" t="s">
        <v>648</v>
      </c>
      <c r="CE82" s="12" t="n">
        <v>1.349</v>
      </c>
      <c r="CF82" s="12" t="n">
        <v>-1.235</v>
      </c>
    </row>
    <row r="83" customFormat="false" ht="15" hidden="false" customHeight="false" outlineLevel="0" collapsed="false">
      <c r="A83" s="12" t="s">
        <v>920</v>
      </c>
      <c r="B83" s="12" t="s">
        <v>921</v>
      </c>
      <c r="C83" s="12" t="s">
        <v>271</v>
      </c>
      <c r="D83" s="12" t="s">
        <v>291</v>
      </c>
      <c r="E83" s="12" t="s">
        <v>305</v>
      </c>
      <c r="F83" s="12" t="s">
        <v>318</v>
      </c>
      <c r="G83" s="12" t="s">
        <v>336</v>
      </c>
      <c r="H83" s="12" t="s">
        <v>349</v>
      </c>
      <c r="I83" s="12" t="s">
        <v>356</v>
      </c>
      <c r="J83" s="12" t="n">
        <v>0</v>
      </c>
      <c r="K83" s="12" t="n">
        <v>1</v>
      </c>
      <c r="L83" s="12" t="n">
        <v>0</v>
      </c>
      <c r="M83" s="12" t="n">
        <v>0</v>
      </c>
      <c r="N83" s="12" t="n">
        <v>0</v>
      </c>
      <c r="O83" s="12" t="n">
        <v>0</v>
      </c>
      <c r="P83" s="12" t="n">
        <v>0</v>
      </c>
      <c r="Q83" s="12" t="n">
        <v>5</v>
      </c>
      <c r="R83" s="12" t="s">
        <v>398</v>
      </c>
      <c r="S83" s="12" t="n">
        <v>1</v>
      </c>
      <c r="T83" s="12" t="n">
        <v>0</v>
      </c>
      <c r="U83" s="12" t="n">
        <v>0</v>
      </c>
      <c r="V83" s="12" t="n">
        <v>1</v>
      </c>
      <c r="W83" s="12" t="n">
        <v>0</v>
      </c>
      <c r="X83" s="12" t="s">
        <v>407</v>
      </c>
      <c r="Y83" s="12" t="s">
        <v>440</v>
      </c>
      <c r="Z83" s="12" t="n">
        <v>1</v>
      </c>
      <c r="AA83" s="12" t="n">
        <v>0</v>
      </c>
      <c r="AB83" s="12" t="n">
        <v>0</v>
      </c>
      <c r="AC83" s="12" t="n">
        <v>1</v>
      </c>
      <c r="AD83" s="12" t="n">
        <v>1</v>
      </c>
      <c r="AE83" s="12" t="n">
        <v>0</v>
      </c>
      <c r="AF83" s="12" t="n">
        <v>0</v>
      </c>
      <c r="AG83" s="12" t="n">
        <v>0</v>
      </c>
      <c r="AH83" s="12" t="n">
        <v>1</v>
      </c>
      <c r="AI83" s="12" t="n">
        <v>0</v>
      </c>
      <c r="AJ83" s="12" t="n">
        <v>0</v>
      </c>
      <c r="AK83" s="12" t="n">
        <v>0</v>
      </c>
      <c r="AL83" s="12" t="n">
        <v>1</v>
      </c>
      <c r="AM83" s="12" t="n">
        <v>1</v>
      </c>
      <c r="AN83" s="12" t="n">
        <v>0</v>
      </c>
      <c r="AO83" s="12" t="n">
        <v>0</v>
      </c>
      <c r="AP83" s="12" t="n">
        <v>0</v>
      </c>
      <c r="AQ83" s="12" t="n">
        <v>0</v>
      </c>
      <c r="AR83" s="12" t="n">
        <v>0</v>
      </c>
      <c r="AS83" s="12" t="n">
        <v>0</v>
      </c>
      <c r="AT83" s="12" t="s">
        <v>480</v>
      </c>
      <c r="AU83" s="12" t="s">
        <v>395</v>
      </c>
      <c r="AV83" s="12" t="n">
        <v>0</v>
      </c>
      <c r="AW83" s="12" t="n">
        <v>1</v>
      </c>
      <c r="AX83" s="12" t="n">
        <v>1</v>
      </c>
      <c r="AY83" s="12" t="n">
        <v>1</v>
      </c>
      <c r="AZ83" s="12" t="n">
        <v>1</v>
      </c>
      <c r="BA83" s="12" t="n">
        <v>0</v>
      </c>
      <c r="BB83" s="12" t="n">
        <v>3</v>
      </c>
      <c r="BC83" s="12" t="n">
        <v>5</v>
      </c>
      <c r="BD83" s="12" t="n">
        <v>3</v>
      </c>
      <c r="BE83" s="12" t="n">
        <v>4</v>
      </c>
      <c r="BF83" s="12" t="n">
        <v>4</v>
      </c>
      <c r="BG83" s="12" t="n">
        <v>4</v>
      </c>
      <c r="BH83" s="12" t="n">
        <v>5</v>
      </c>
      <c r="BI83" s="12" t="n">
        <v>3</v>
      </c>
      <c r="BJ83" s="12" t="n">
        <v>4</v>
      </c>
      <c r="BK83" s="12" t="n">
        <v>4</v>
      </c>
      <c r="BL83" s="12" t="n">
        <v>2</v>
      </c>
      <c r="BM83" s="12" t="n">
        <v>3</v>
      </c>
      <c r="BN83" s="12" t="n">
        <v>1</v>
      </c>
      <c r="BO83" s="12" t="n">
        <v>2</v>
      </c>
      <c r="BP83" s="12" t="n">
        <v>4</v>
      </c>
      <c r="BQ83" s="12" t="n">
        <v>5</v>
      </c>
      <c r="BR83" s="12" t="n">
        <v>3</v>
      </c>
      <c r="BS83" s="12" t="n">
        <v>6</v>
      </c>
      <c r="BT83" s="12" t="s">
        <v>922</v>
      </c>
      <c r="BU83" s="12"/>
      <c r="BV83" s="12"/>
      <c r="BW83" s="16" t="n">
        <f aca="false">IF($R83="","",INDEX(Codes!$E$2:$E$108,MATCH("B1|"&amp;$R83,Codes!$A$2:$A$108,0)))</f>
        <v>4</v>
      </c>
      <c r="BX83" s="16" t="n">
        <f aca="false">IF($Y83="","",INDEX(Codes!$E$2:$E$108,MATCH("B4|"&amp;$Y83,Codes!$A$2:$A$108,0)))</f>
        <v>5</v>
      </c>
      <c r="BY83" s="16" t="n">
        <f aca="false">IF($I83="","",INDEX(Codes!$E$2:$E$108,MATCH("A7|"&amp;$I83,Codes!$A$2:$A$108,0)))</f>
        <v>0</v>
      </c>
      <c r="BZ83" s="16" t="n">
        <f aca="false">IF($AU83="","",INDEX(Codes!$E$2:$E$108,MATCH("B8|"&amp;$AU83,Codes!$A$2:$A$108,0)))</f>
        <v>2</v>
      </c>
      <c r="CA83" s="16" t="n">
        <f aca="false">IF($H83="","",INDEX(Codes!$E$2:$E$108,MATCH("A6|"&amp;$H83,Codes!$A$2:$A$108,0)))</f>
        <v>4</v>
      </c>
      <c r="CB83" s="16" t="n">
        <f aca="false">IF($X83="","",IF($X83="phone",1,0))</f>
        <v>0</v>
      </c>
      <c r="CC83" s="16" t="n">
        <f aca="false">IF($BC83="","",8-$BC83)</f>
        <v>3</v>
      </c>
      <c r="CD83" s="12" t="s">
        <v>671</v>
      </c>
      <c r="CE83" s="12" t="n">
        <v>2.696</v>
      </c>
      <c r="CF83" s="12" t="n">
        <v>0.378</v>
      </c>
    </row>
    <row r="84" customFormat="false" ht="15" hidden="false" customHeight="false" outlineLevel="0" collapsed="false">
      <c r="A84" s="12" t="s">
        <v>923</v>
      </c>
      <c r="B84" s="12" t="s">
        <v>924</v>
      </c>
      <c r="C84" s="12" t="s">
        <v>274</v>
      </c>
      <c r="D84" s="12" t="s">
        <v>293</v>
      </c>
      <c r="E84" s="12" t="s">
        <v>308</v>
      </c>
      <c r="F84" s="12" t="s">
        <v>315</v>
      </c>
      <c r="G84" s="12" t="s">
        <v>339</v>
      </c>
      <c r="H84" s="12" t="s">
        <v>345</v>
      </c>
      <c r="I84" s="12" t="s">
        <v>356</v>
      </c>
      <c r="J84" s="12" t="n">
        <v>1</v>
      </c>
      <c r="K84" s="12" t="n">
        <v>0</v>
      </c>
      <c r="L84" s="12" t="n">
        <v>0</v>
      </c>
      <c r="M84" s="12" t="n">
        <v>0</v>
      </c>
      <c r="N84" s="12" t="n">
        <v>0</v>
      </c>
      <c r="O84" s="12" t="n">
        <v>0</v>
      </c>
      <c r="P84" s="12" t="n">
        <v>0</v>
      </c>
      <c r="Q84" s="12" t="n">
        <v>6</v>
      </c>
      <c r="R84" s="12" t="s">
        <v>401</v>
      </c>
      <c r="S84" s="12" t="n">
        <v>1</v>
      </c>
      <c r="T84" s="12" t="n">
        <v>0</v>
      </c>
      <c r="U84" s="12" t="n">
        <v>0</v>
      </c>
      <c r="V84" s="12" t="n">
        <v>0</v>
      </c>
      <c r="W84" s="12" t="n">
        <v>0</v>
      </c>
      <c r="X84" s="12" t="s">
        <v>407</v>
      </c>
      <c r="Y84" s="12" t="s">
        <v>437</v>
      </c>
      <c r="Z84" s="12" t="n">
        <v>1</v>
      </c>
      <c r="AA84" s="12" t="n">
        <v>1</v>
      </c>
      <c r="AB84" s="12" t="n">
        <v>1</v>
      </c>
      <c r="AC84" s="12" t="n">
        <v>1</v>
      </c>
      <c r="AD84" s="12" t="n">
        <v>1</v>
      </c>
      <c r="AE84" s="12" t="n">
        <v>0</v>
      </c>
      <c r="AF84" s="12" t="n">
        <v>0</v>
      </c>
      <c r="AG84" s="12" t="n">
        <v>0</v>
      </c>
      <c r="AH84" s="12" t="n">
        <v>1</v>
      </c>
      <c r="AI84" s="12" t="n">
        <v>1</v>
      </c>
      <c r="AJ84" s="12" t="n">
        <v>1</v>
      </c>
      <c r="AK84" s="12" t="n">
        <v>0</v>
      </c>
      <c r="AL84" s="12" t="n">
        <v>1</v>
      </c>
      <c r="AM84" s="12" t="n">
        <v>1</v>
      </c>
      <c r="AN84" s="12" t="n">
        <v>0</v>
      </c>
      <c r="AO84" s="12" t="n">
        <v>0</v>
      </c>
      <c r="AP84" s="12" t="n">
        <v>0</v>
      </c>
      <c r="AQ84" s="12" t="n">
        <v>0</v>
      </c>
      <c r="AR84" s="12" t="n">
        <v>0</v>
      </c>
      <c r="AS84" s="12" t="n">
        <v>1</v>
      </c>
      <c r="AT84" s="12" t="s">
        <v>480</v>
      </c>
      <c r="AU84" s="12" t="s">
        <v>398</v>
      </c>
      <c r="AV84" s="12" t="n">
        <v>0</v>
      </c>
      <c r="AW84" s="12" t="n">
        <v>1</v>
      </c>
      <c r="AX84" s="12" t="n">
        <v>1</v>
      </c>
      <c r="AY84" s="12" t="n">
        <v>1</v>
      </c>
      <c r="AZ84" s="12" t="n">
        <v>0</v>
      </c>
      <c r="BA84" s="12" t="n">
        <v>0</v>
      </c>
      <c r="BB84" s="12" t="n">
        <v>4</v>
      </c>
      <c r="BC84" s="12" t="n">
        <v>5</v>
      </c>
      <c r="BD84" s="12" t="n">
        <v>6</v>
      </c>
      <c r="BE84" s="12" t="n">
        <v>4</v>
      </c>
      <c r="BF84" s="12" t="n">
        <v>4</v>
      </c>
      <c r="BG84" s="12" t="n">
        <v>3</v>
      </c>
      <c r="BH84" s="12" t="n">
        <v>6</v>
      </c>
      <c r="BI84" s="12" t="n">
        <v>7</v>
      </c>
      <c r="BJ84" s="12" t="n">
        <v>5</v>
      </c>
      <c r="BK84" s="12" t="n">
        <v>3</v>
      </c>
      <c r="BL84" s="12" t="n">
        <v>5</v>
      </c>
      <c r="BM84" s="12" t="n">
        <v>5</v>
      </c>
      <c r="BN84" s="12" t="n">
        <v>1</v>
      </c>
      <c r="BO84" s="12" t="n">
        <v>3</v>
      </c>
      <c r="BP84" s="12" t="n">
        <v>4</v>
      </c>
      <c r="BQ84" s="12" t="n">
        <v>5</v>
      </c>
      <c r="BR84" s="12" t="n">
        <v>2</v>
      </c>
      <c r="BS84" s="12" t="n">
        <v>6</v>
      </c>
      <c r="BT84" s="12" t="s">
        <v>689</v>
      </c>
      <c r="BU84" s="12" t="s">
        <v>686</v>
      </c>
      <c r="BV84" s="12"/>
      <c r="BW84" s="16" t="n">
        <f aca="false">IF($R84="","",INDEX(Codes!$E$2:$E$108,MATCH("B1|"&amp;$R84,Codes!$A$2:$A$108,0)))</f>
        <v>5</v>
      </c>
      <c r="BX84" s="16" t="n">
        <f aca="false">IF($Y84="","",INDEX(Codes!$E$2:$E$108,MATCH("B4|"&amp;$Y84,Codes!$A$2:$A$108,0)))</f>
        <v>4</v>
      </c>
      <c r="BY84" s="16" t="n">
        <f aca="false">IF($I84="","",INDEX(Codes!$E$2:$E$108,MATCH("A7|"&amp;$I84,Codes!$A$2:$A$108,0)))</f>
        <v>0</v>
      </c>
      <c r="BZ84" s="16" t="n">
        <f aca="false">IF($AU84="","",INDEX(Codes!$E$2:$E$108,MATCH("B8|"&amp;$AU84,Codes!$A$2:$A$108,0)))</f>
        <v>3</v>
      </c>
      <c r="CA84" s="16" t="n">
        <f aca="false">IF($H84="","",INDEX(Codes!$E$2:$E$108,MATCH("A6|"&amp;$H84,Codes!$A$2:$A$108,0)))</f>
        <v>2</v>
      </c>
      <c r="CB84" s="16" t="n">
        <f aca="false">IF($X84="","",IF($X84="phone",1,0))</f>
        <v>0</v>
      </c>
      <c r="CC84" s="16" t="n">
        <f aca="false">IF($BC84="","",8-$BC84)</f>
        <v>3</v>
      </c>
      <c r="CD84" s="12" t="s">
        <v>620</v>
      </c>
      <c r="CE84" s="12" t="n">
        <v>0.299</v>
      </c>
      <c r="CF84" s="12" t="n">
        <v>3.015</v>
      </c>
    </row>
    <row r="85" customFormat="false" ht="15" hidden="false" customHeight="false" outlineLevel="0" collapsed="false">
      <c r="A85" s="12" t="s">
        <v>925</v>
      </c>
      <c r="B85" s="12" t="s">
        <v>926</v>
      </c>
      <c r="C85" s="12" t="s">
        <v>271</v>
      </c>
      <c r="D85" s="12" t="s">
        <v>291</v>
      </c>
      <c r="E85" s="12" t="s">
        <v>305</v>
      </c>
      <c r="F85" s="12" t="s">
        <v>315</v>
      </c>
      <c r="G85" s="12" t="s">
        <v>336</v>
      </c>
      <c r="H85" s="12" t="s">
        <v>349</v>
      </c>
      <c r="I85" s="12" t="s">
        <v>362</v>
      </c>
      <c r="J85" s="12" t="n">
        <v>1</v>
      </c>
      <c r="K85" s="12" t="n">
        <v>0</v>
      </c>
      <c r="L85" s="12" t="n">
        <v>0</v>
      </c>
      <c r="M85" s="12" t="n">
        <v>0</v>
      </c>
      <c r="N85" s="12" t="n">
        <v>0</v>
      </c>
      <c r="O85" s="12" t="n">
        <v>0</v>
      </c>
      <c r="P85" s="12" t="n">
        <v>0</v>
      </c>
      <c r="Q85" s="12" t="n">
        <v>4</v>
      </c>
      <c r="R85" s="12" t="s">
        <v>404</v>
      </c>
      <c r="S85" s="12" t="n">
        <v>1</v>
      </c>
      <c r="T85" s="12" t="n">
        <v>0</v>
      </c>
      <c r="U85" s="12" t="n">
        <v>0</v>
      </c>
      <c r="V85" s="12" t="n">
        <v>1</v>
      </c>
      <c r="W85" s="12" t="n">
        <v>0</v>
      </c>
      <c r="X85" s="12" t="s">
        <v>424</v>
      </c>
      <c r="Y85" s="12" t="s">
        <v>431</v>
      </c>
      <c r="Z85" s="12" t="n">
        <v>1</v>
      </c>
      <c r="AA85" s="12" t="n">
        <v>1</v>
      </c>
      <c r="AB85" s="12" t="n">
        <v>1</v>
      </c>
      <c r="AC85" s="12" t="n">
        <v>1</v>
      </c>
      <c r="AD85" s="12" t="n">
        <v>0</v>
      </c>
      <c r="AE85" s="12" t="n">
        <v>0</v>
      </c>
      <c r="AF85" s="12" t="n">
        <v>0</v>
      </c>
      <c r="AG85" s="12" t="n">
        <v>1</v>
      </c>
      <c r="AH85" s="12" t="n">
        <v>1</v>
      </c>
      <c r="AI85" s="12" t="n">
        <v>0</v>
      </c>
      <c r="AJ85" s="12" t="n">
        <v>0</v>
      </c>
      <c r="AK85" s="12" t="n">
        <v>0</v>
      </c>
      <c r="AL85" s="12" t="n">
        <v>0</v>
      </c>
      <c r="AM85" s="12" t="n">
        <v>0</v>
      </c>
      <c r="AN85" s="12" t="n">
        <v>0</v>
      </c>
      <c r="AO85" s="12" t="n">
        <v>1</v>
      </c>
      <c r="AP85" s="12" t="n">
        <v>0</v>
      </c>
      <c r="AQ85" s="12" t="n">
        <v>0</v>
      </c>
      <c r="AR85" s="12" t="n">
        <v>0</v>
      </c>
      <c r="AS85" s="12" t="n">
        <v>0</v>
      </c>
      <c r="AT85" s="12" t="s">
        <v>504</v>
      </c>
      <c r="AU85" s="12" t="s">
        <v>398</v>
      </c>
      <c r="AV85" s="12" t="n">
        <v>0</v>
      </c>
      <c r="AW85" s="12" t="n">
        <v>1</v>
      </c>
      <c r="AX85" s="12" t="n">
        <v>0</v>
      </c>
      <c r="AY85" s="12" t="n">
        <v>1</v>
      </c>
      <c r="AZ85" s="12" t="n">
        <v>0</v>
      </c>
      <c r="BA85" s="12" t="n">
        <v>0</v>
      </c>
      <c r="BB85" s="12" t="n">
        <v>4</v>
      </c>
      <c r="BC85" s="12" t="n">
        <v>4</v>
      </c>
      <c r="BD85" s="12" t="n">
        <v>5</v>
      </c>
      <c r="BE85" s="12" t="n">
        <v>7</v>
      </c>
      <c r="BF85" s="12" t="n">
        <v>3</v>
      </c>
      <c r="BG85" s="12" t="n">
        <v>4</v>
      </c>
      <c r="BH85" s="12" t="n">
        <v>4</v>
      </c>
      <c r="BI85" s="12" t="n">
        <v>5</v>
      </c>
      <c r="BJ85" s="12" t="n">
        <v>6</v>
      </c>
      <c r="BK85" s="12" t="n">
        <v>4</v>
      </c>
      <c r="BL85" s="12" t="n">
        <v>4</v>
      </c>
      <c r="BM85" s="12" t="n">
        <v>4</v>
      </c>
      <c r="BN85" s="12" t="n">
        <v>5</v>
      </c>
      <c r="BO85" s="12" t="n">
        <v>1</v>
      </c>
      <c r="BP85" s="12" t="n">
        <v>2</v>
      </c>
      <c r="BQ85" s="12" t="n">
        <v>3</v>
      </c>
      <c r="BR85" s="12" t="n">
        <v>4</v>
      </c>
      <c r="BS85" s="12" t="n">
        <v>6</v>
      </c>
      <c r="BT85" s="12" t="s">
        <v>681</v>
      </c>
      <c r="BU85" s="12" t="s">
        <v>693</v>
      </c>
      <c r="BV85" s="12"/>
      <c r="BW85" s="16" t="n">
        <f aca="false">IF($R85="","",INDEX(Codes!$E$2:$E$108,MATCH("B1|"&amp;$R85,Codes!$A$2:$A$108,0)))</f>
        <v>6</v>
      </c>
      <c r="BX85" s="16" t="n">
        <f aca="false">IF($Y85="","",INDEX(Codes!$E$2:$E$108,MATCH("B4|"&amp;$Y85,Codes!$A$2:$A$108,0)))</f>
        <v>2</v>
      </c>
      <c r="BY85" s="16" t="n">
        <f aca="false">IF($I85="","",INDEX(Codes!$E$2:$E$108,MATCH("A7|"&amp;$I85,Codes!$A$2:$A$108,0)))</f>
        <v>2</v>
      </c>
      <c r="BZ85" s="16" t="n">
        <f aca="false">IF($AU85="","",INDEX(Codes!$E$2:$E$108,MATCH("B8|"&amp;$AU85,Codes!$A$2:$A$108,0)))</f>
        <v>3</v>
      </c>
      <c r="CA85" s="16" t="n">
        <f aca="false">IF($H85="","",INDEX(Codes!$E$2:$E$108,MATCH("A6|"&amp;$H85,Codes!$A$2:$A$108,0)))</f>
        <v>4</v>
      </c>
      <c r="CB85" s="16" t="n">
        <f aca="false">IF($X85="","",IF($X85="phone",1,0))</f>
        <v>1</v>
      </c>
      <c r="CC85" s="16" t="n">
        <f aca="false">IF($BC85="","",8-$BC85)</f>
        <v>4</v>
      </c>
      <c r="CD85" s="12" t="s">
        <v>643</v>
      </c>
      <c r="CE85" s="12" t="n">
        <v>-3.027</v>
      </c>
      <c r="CF85" s="12" t="n">
        <v>-2.417</v>
      </c>
    </row>
    <row r="86" customFormat="false" ht="15" hidden="false" customHeight="false" outlineLevel="0" collapsed="false">
      <c r="A86" s="12" t="s">
        <v>927</v>
      </c>
      <c r="B86" s="12" t="s">
        <v>928</v>
      </c>
      <c r="C86" s="12" t="s">
        <v>271</v>
      </c>
      <c r="D86" s="12" t="s">
        <v>289</v>
      </c>
      <c r="E86" s="12" t="s">
        <v>308</v>
      </c>
      <c r="F86" s="12" t="s">
        <v>315</v>
      </c>
      <c r="G86" s="12" t="s">
        <v>336</v>
      </c>
      <c r="H86" s="12" t="s">
        <v>349</v>
      </c>
      <c r="I86" s="12" t="s">
        <v>359</v>
      </c>
      <c r="J86" s="12" t="n">
        <v>0</v>
      </c>
      <c r="K86" s="12" t="n">
        <v>1</v>
      </c>
      <c r="L86" s="12" t="n">
        <v>0</v>
      </c>
      <c r="M86" s="12" t="n">
        <v>0</v>
      </c>
      <c r="N86" s="12" t="n">
        <v>0</v>
      </c>
      <c r="O86" s="12" t="n">
        <v>0</v>
      </c>
      <c r="P86" s="12" t="n">
        <v>0</v>
      </c>
      <c r="Q86" s="12" t="n">
        <v>5</v>
      </c>
      <c r="R86" s="12" t="s">
        <v>398</v>
      </c>
      <c r="S86" s="12" t="n">
        <v>1</v>
      </c>
      <c r="T86" s="12" t="n">
        <v>0</v>
      </c>
      <c r="U86" s="12" t="n">
        <v>0</v>
      </c>
      <c r="V86" s="12" t="n">
        <v>0</v>
      </c>
      <c r="W86" s="12" t="n">
        <v>0</v>
      </c>
      <c r="X86" s="12" t="s">
        <v>407</v>
      </c>
      <c r="Y86" s="12" t="s">
        <v>440</v>
      </c>
      <c r="Z86" s="12" t="n">
        <v>1</v>
      </c>
      <c r="AA86" s="12" t="n">
        <v>1</v>
      </c>
      <c r="AB86" s="12" t="n">
        <v>1</v>
      </c>
      <c r="AC86" s="12" t="n">
        <v>1</v>
      </c>
      <c r="AD86" s="12" t="n">
        <v>1</v>
      </c>
      <c r="AE86" s="12" t="n">
        <v>0</v>
      </c>
      <c r="AF86" s="12" t="n">
        <v>0</v>
      </c>
      <c r="AG86" s="12" t="n">
        <v>0</v>
      </c>
      <c r="AH86" s="12" t="n">
        <v>0</v>
      </c>
      <c r="AI86" s="12" t="n">
        <v>0</v>
      </c>
      <c r="AJ86" s="12" t="n">
        <v>0</v>
      </c>
      <c r="AK86" s="12" t="n">
        <v>0</v>
      </c>
      <c r="AL86" s="12" t="n">
        <v>1</v>
      </c>
      <c r="AM86" s="12" t="n">
        <v>0</v>
      </c>
      <c r="AN86" s="12" t="n">
        <v>0</v>
      </c>
      <c r="AO86" s="12" t="n">
        <v>0</v>
      </c>
      <c r="AP86" s="12" t="n">
        <v>0</v>
      </c>
      <c r="AQ86" s="12" t="n">
        <v>0</v>
      </c>
      <c r="AR86" s="12" t="n">
        <v>1</v>
      </c>
      <c r="AS86" s="12" t="n">
        <v>0</v>
      </c>
      <c r="AT86" s="12" t="s">
        <v>480</v>
      </c>
      <c r="AU86" s="12" t="s">
        <v>398</v>
      </c>
      <c r="AV86" s="12" t="n">
        <v>0</v>
      </c>
      <c r="AW86" s="12" t="n">
        <v>0</v>
      </c>
      <c r="AX86" s="12" t="n">
        <v>1</v>
      </c>
      <c r="AY86" s="12" t="n">
        <v>0</v>
      </c>
      <c r="AZ86" s="12" t="n">
        <v>1</v>
      </c>
      <c r="BA86" s="12" t="n">
        <v>0</v>
      </c>
      <c r="BB86" s="12" t="n">
        <v>3</v>
      </c>
      <c r="BC86" s="12" t="n">
        <v>6</v>
      </c>
      <c r="BD86" s="12" t="n">
        <v>3</v>
      </c>
      <c r="BE86" s="12" t="n">
        <v>6</v>
      </c>
      <c r="BF86" s="12" t="n">
        <v>2</v>
      </c>
      <c r="BG86" s="12" t="n">
        <v>4</v>
      </c>
      <c r="BH86" s="12" t="n">
        <v>3</v>
      </c>
      <c r="BI86" s="12" t="n">
        <v>3</v>
      </c>
      <c r="BJ86" s="12" t="n">
        <v>3</v>
      </c>
      <c r="BK86" s="12" t="n">
        <v>3</v>
      </c>
      <c r="BL86" s="12" t="n">
        <v>1</v>
      </c>
      <c r="BM86" s="12" t="n">
        <v>3</v>
      </c>
      <c r="BN86" s="12" t="n">
        <v>1</v>
      </c>
      <c r="BO86" s="12" t="n">
        <v>3</v>
      </c>
      <c r="BP86" s="12" t="n">
        <v>4</v>
      </c>
      <c r="BQ86" s="12" t="n">
        <v>6</v>
      </c>
      <c r="BR86" s="12" t="n">
        <v>2</v>
      </c>
      <c r="BS86" s="12" t="n">
        <v>5</v>
      </c>
      <c r="BT86" s="12" t="s">
        <v>929</v>
      </c>
      <c r="BU86" s="12" t="s">
        <v>930</v>
      </c>
      <c r="BV86" s="12"/>
      <c r="BW86" s="16" t="n">
        <f aca="false">IF($R86="","",INDEX(Codes!$E$2:$E$108,MATCH("B1|"&amp;$R86,Codes!$A$2:$A$108,0)))</f>
        <v>4</v>
      </c>
      <c r="BX86" s="16" t="n">
        <f aca="false">IF($Y86="","",INDEX(Codes!$E$2:$E$108,MATCH("B4|"&amp;$Y86,Codes!$A$2:$A$108,0)))</f>
        <v>5</v>
      </c>
      <c r="BY86" s="16" t="n">
        <f aca="false">IF($I86="","",INDEX(Codes!$E$2:$E$108,MATCH("A7|"&amp;$I86,Codes!$A$2:$A$108,0)))</f>
        <v>1</v>
      </c>
      <c r="BZ86" s="16" t="n">
        <f aca="false">IF($AU86="","",INDEX(Codes!$E$2:$E$108,MATCH("B8|"&amp;$AU86,Codes!$A$2:$A$108,0)))</f>
        <v>3</v>
      </c>
      <c r="CA86" s="16" t="n">
        <f aca="false">IF($H86="","",INDEX(Codes!$E$2:$E$108,MATCH("A6|"&amp;$H86,Codes!$A$2:$A$108,0)))</f>
        <v>4</v>
      </c>
      <c r="CB86" s="16" t="n">
        <f aca="false">IF($X86="","",IF($X86="phone",1,0))</f>
        <v>0</v>
      </c>
      <c r="CC86" s="16" t="n">
        <f aca="false">IF($BC86="","",8-$BC86)</f>
        <v>2</v>
      </c>
      <c r="CD86" s="12" t="s">
        <v>671</v>
      </c>
      <c r="CE86" s="12" t="n">
        <v>3.133</v>
      </c>
      <c r="CF86" s="12" t="n">
        <v>-0.27</v>
      </c>
    </row>
    <row r="87" customFormat="false" ht="15" hidden="false" customHeight="false" outlineLevel="0" collapsed="false">
      <c r="A87" s="12" t="s">
        <v>931</v>
      </c>
      <c r="B87" s="12" t="s">
        <v>932</v>
      </c>
      <c r="C87" s="12" t="s">
        <v>271</v>
      </c>
      <c r="D87" s="12" t="s">
        <v>291</v>
      </c>
      <c r="E87" s="12" t="s">
        <v>305</v>
      </c>
      <c r="F87" s="12" t="s">
        <v>318</v>
      </c>
      <c r="G87" s="12" t="s">
        <v>333</v>
      </c>
      <c r="H87" s="12" t="s">
        <v>349</v>
      </c>
      <c r="I87" s="12" t="s">
        <v>359</v>
      </c>
      <c r="J87" s="12" t="n">
        <v>1</v>
      </c>
      <c r="K87" s="12" t="n">
        <v>0</v>
      </c>
      <c r="L87" s="12" t="n">
        <v>0</v>
      </c>
      <c r="M87" s="12" t="n">
        <v>0</v>
      </c>
      <c r="N87" s="12" t="n">
        <v>0</v>
      </c>
      <c r="O87" s="12" t="n">
        <v>0</v>
      </c>
      <c r="P87" s="12" t="n">
        <v>0</v>
      </c>
      <c r="Q87" s="12" t="n">
        <v>5</v>
      </c>
      <c r="R87" s="12" t="s">
        <v>404</v>
      </c>
      <c r="S87" s="12" t="n">
        <v>0</v>
      </c>
      <c r="T87" s="12" t="n">
        <v>0</v>
      </c>
      <c r="U87" s="12" t="n">
        <v>0</v>
      </c>
      <c r="V87" s="12" t="n">
        <v>1</v>
      </c>
      <c r="W87" s="12" t="n">
        <v>0</v>
      </c>
      <c r="X87" s="12" t="s">
        <v>407</v>
      </c>
      <c r="Y87" s="12" t="s">
        <v>431</v>
      </c>
      <c r="Z87" s="12" t="n">
        <v>1</v>
      </c>
      <c r="AA87" s="12" t="n">
        <v>1</v>
      </c>
      <c r="AB87" s="12" t="n">
        <v>1</v>
      </c>
      <c r="AC87" s="12" t="n">
        <v>0</v>
      </c>
      <c r="AD87" s="12" t="n">
        <v>1</v>
      </c>
      <c r="AE87" s="12" t="n">
        <v>0</v>
      </c>
      <c r="AF87" s="12" t="n">
        <v>0</v>
      </c>
      <c r="AG87" s="12" t="n">
        <v>0</v>
      </c>
      <c r="AH87" s="12" t="n">
        <v>0</v>
      </c>
      <c r="AI87" s="12" t="n">
        <v>0</v>
      </c>
      <c r="AJ87" s="12" t="n">
        <v>0</v>
      </c>
      <c r="AK87" s="12" t="n">
        <v>0</v>
      </c>
      <c r="AL87" s="12" t="n">
        <v>1</v>
      </c>
      <c r="AM87" s="12" t="n">
        <v>0</v>
      </c>
      <c r="AN87" s="12" t="n">
        <v>1</v>
      </c>
      <c r="AO87" s="12" t="n">
        <v>1</v>
      </c>
      <c r="AP87" s="12" t="n">
        <v>1</v>
      </c>
      <c r="AQ87" s="12" t="n">
        <v>0</v>
      </c>
      <c r="AR87" s="12" t="n">
        <v>0</v>
      </c>
      <c r="AS87" s="12" t="n">
        <v>1</v>
      </c>
      <c r="AT87" s="12" t="s">
        <v>504</v>
      </c>
      <c r="AU87" s="12" t="s">
        <v>395</v>
      </c>
      <c r="AV87" s="12" t="n">
        <v>0</v>
      </c>
      <c r="AW87" s="12" t="n">
        <v>1</v>
      </c>
      <c r="AX87" s="12" t="n">
        <v>0</v>
      </c>
      <c r="AY87" s="12" t="n">
        <v>0</v>
      </c>
      <c r="AZ87" s="12" t="n">
        <v>0</v>
      </c>
      <c r="BA87" s="12" t="n">
        <v>0</v>
      </c>
      <c r="BB87" s="12" t="n">
        <v>4</v>
      </c>
      <c r="BC87" s="12" t="n">
        <v>4</v>
      </c>
      <c r="BD87" s="12" t="n">
        <v>5</v>
      </c>
      <c r="BE87" s="12" t="n">
        <v>4</v>
      </c>
      <c r="BF87" s="12" t="n">
        <v>2</v>
      </c>
      <c r="BG87" s="12" t="n">
        <v>4</v>
      </c>
      <c r="BH87" s="12" t="n">
        <v>4</v>
      </c>
      <c r="BI87" s="12" t="n">
        <v>6</v>
      </c>
      <c r="BJ87" s="12" t="n">
        <v>6</v>
      </c>
      <c r="BK87" s="12" t="n">
        <v>4</v>
      </c>
      <c r="BL87" s="12" t="n">
        <v>5</v>
      </c>
      <c r="BM87" s="12" t="n">
        <v>5</v>
      </c>
      <c r="BN87" s="12" t="n">
        <v>2</v>
      </c>
      <c r="BO87" s="12" t="n">
        <v>1</v>
      </c>
      <c r="BP87" s="12" t="n">
        <v>3</v>
      </c>
      <c r="BQ87" s="12" t="n">
        <v>4</v>
      </c>
      <c r="BR87" s="12" t="n">
        <v>5</v>
      </c>
      <c r="BS87" s="12" t="n">
        <v>6</v>
      </c>
      <c r="BT87" s="12" t="s">
        <v>933</v>
      </c>
      <c r="BU87" s="12" t="s">
        <v>934</v>
      </c>
      <c r="BV87" s="12"/>
      <c r="BW87" s="16" t="n">
        <f aca="false">IF($R87="","",INDEX(Codes!$E$2:$E$108,MATCH("B1|"&amp;$R87,Codes!$A$2:$A$108,0)))</f>
        <v>6</v>
      </c>
      <c r="BX87" s="16" t="n">
        <f aca="false">IF($Y87="","",INDEX(Codes!$E$2:$E$108,MATCH("B4|"&amp;$Y87,Codes!$A$2:$A$108,0)))</f>
        <v>2</v>
      </c>
      <c r="BY87" s="16" t="n">
        <f aca="false">IF($I87="","",INDEX(Codes!$E$2:$E$108,MATCH("A7|"&amp;$I87,Codes!$A$2:$A$108,0)))</f>
        <v>1</v>
      </c>
      <c r="BZ87" s="16" t="n">
        <f aca="false">IF($AU87="","",INDEX(Codes!$E$2:$E$108,MATCH("B8|"&amp;$AU87,Codes!$A$2:$A$108,0)))</f>
        <v>2</v>
      </c>
      <c r="CA87" s="16" t="n">
        <f aca="false">IF($H87="","",INDEX(Codes!$E$2:$E$108,MATCH("A6|"&amp;$H87,Codes!$A$2:$A$108,0)))</f>
        <v>4</v>
      </c>
      <c r="CB87" s="16" t="n">
        <f aca="false">IF($X87="","",IF($X87="phone",1,0))</f>
        <v>0</v>
      </c>
      <c r="CC87" s="16" t="n">
        <f aca="false">IF($BC87="","",8-$BC87)</f>
        <v>4</v>
      </c>
      <c r="CD87" s="12" t="s">
        <v>643</v>
      </c>
      <c r="CE87" s="12" t="n">
        <v>-2.082</v>
      </c>
      <c r="CF87" s="12" t="n">
        <v>0.465</v>
      </c>
    </row>
    <row r="88" customFormat="false" ht="15" hidden="false" customHeight="false" outlineLevel="0" collapsed="false">
      <c r="A88" s="12" t="s">
        <v>935</v>
      </c>
      <c r="B88" s="12" t="s">
        <v>936</v>
      </c>
      <c r="C88" s="12" t="s">
        <v>271</v>
      </c>
      <c r="D88" s="12" t="s">
        <v>291</v>
      </c>
      <c r="E88" s="12" t="s">
        <v>308</v>
      </c>
      <c r="F88" s="12" t="s">
        <v>321</v>
      </c>
      <c r="G88" s="12" t="s">
        <v>333</v>
      </c>
      <c r="H88" s="12" t="s">
        <v>351</v>
      </c>
      <c r="I88" s="12" t="s">
        <v>368</v>
      </c>
      <c r="J88" s="12" t="n">
        <v>1</v>
      </c>
      <c r="K88" s="12" t="n">
        <v>0</v>
      </c>
      <c r="L88" s="12" t="n">
        <v>0</v>
      </c>
      <c r="M88" s="12" t="n">
        <v>0</v>
      </c>
      <c r="N88" s="12" t="n">
        <v>0</v>
      </c>
      <c r="O88" s="12" t="n">
        <v>0</v>
      </c>
      <c r="P88" s="12" t="n">
        <v>0</v>
      </c>
      <c r="Q88" s="12" t="n">
        <v>5</v>
      </c>
      <c r="R88" s="12" t="s">
        <v>401</v>
      </c>
      <c r="S88" s="12" t="n">
        <v>1</v>
      </c>
      <c r="T88" s="12" t="n">
        <v>0</v>
      </c>
      <c r="U88" s="12" t="n">
        <v>0</v>
      </c>
      <c r="V88" s="12" t="n">
        <v>0</v>
      </c>
      <c r="W88" s="12" t="n">
        <v>0</v>
      </c>
      <c r="X88" s="12" t="s">
        <v>407</v>
      </c>
      <c r="Y88" s="12" t="s">
        <v>437</v>
      </c>
      <c r="Z88" s="12" t="n">
        <v>1</v>
      </c>
      <c r="AA88" s="12" t="n">
        <v>1</v>
      </c>
      <c r="AB88" s="12" t="n">
        <v>1</v>
      </c>
      <c r="AC88" s="12" t="n">
        <v>1</v>
      </c>
      <c r="AD88" s="12" t="n">
        <v>1</v>
      </c>
      <c r="AE88" s="12" t="n">
        <v>0</v>
      </c>
      <c r="AF88" s="12" t="n">
        <v>0</v>
      </c>
      <c r="AG88" s="12" t="n">
        <v>1</v>
      </c>
      <c r="AH88" s="12" t="n">
        <v>1</v>
      </c>
      <c r="AI88" s="12" t="n">
        <v>0</v>
      </c>
      <c r="AJ88" s="12" t="n">
        <v>0</v>
      </c>
      <c r="AK88" s="12" t="n">
        <v>0</v>
      </c>
      <c r="AL88" s="12" t="n">
        <v>0</v>
      </c>
      <c r="AM88" s="12" t="n">
        <v>0</v>
      </c>
      <c r="AN88" s="12" t="n">
        <v>0</v>
      </c>
      <c r="AO88" s="12" t="n">
        <v>0</v>
      </c>
      <c r="AP88" s="12" t="n">
        <v>0</v>
      </c>
      <c r="AQ88" s="12" t="n">
        <v>0</v>
      </c>
      <c r="AR88" s="12" t="n">
        <v>1</v>
      </c>
      <c r="AS88" s="12" t="n">
        <v>0</v>
      </c>
      <c r="AT88" s="12" t="s">
        <v>480</v>
      </c>
      <c r="AU88" s="12" t="s">
        <v>398</v>
      </c>
      <c r="AV88" s="12" t="n">
        <v>1</v>
      </c>
      <c r="AW88" s="12" t="n">
        <v>0</v>
      </c>
      <c r="AX88" s="12" t="n">
        <v>0</v>
      </c>
      <c r="AY88" s="12" t="n">
        <v>1</v>
      </c>
      <c r="AZ88" s="12" t="n">
        <v>1</v>
      </c>
      <c r="BA88" s="12" t="n">
        <v>0</v>
      </c>
      <c r="BB88" s="12" t="n">
        <v>4</v>
      </c>
      <c r="BC88" s="12" t="n">
        <v>5</v>
      </c>
      <c r="BD88" s="12" t="n">
        <v>3</v>
      </c>
      <c r="BE88" s="12" t="n">
        <v>6</v>
      </c>
      <c r="BF88" s="12" t="n">
        <v>4</v>
      </c>
      <c r="BG88" s="12" t="n">
        <v>3</v>
      </c>
      <c r="BH88" s="12" t="n">
        <v>4</v>
      </c>
      <c r="BI88" s="12" t="n">
        <v>4</v>
      </c>
      <c r="BJ88" s="12" t="n">
        <v>5</v>
      </c>
      <c r="BK88" s="12" t="n">
        <v>4</v>
      </c>
      <c r="BL88" s="12" t="n">
        <v>3</v>
      </c>
      <c r="BM88" s="12" t="n">
        <v>5</v>
      </c>
      <c r="BN88" s="12" t="n">
        <v>3</v>
      </c>
      <c r="BO88" s="12" t="n">
        <v>1</v>
      </c>
      <c r="BP88" s="12" t="n">
        <v>4</v>
      </c>
      <c r="BQ88" s="12" t="n">
        <v>6</v>
      </c>
      <c r="BR88" s="12" t="n">
        <v>2</v>
      </c>
      <c r="BS88" s="12" t="n">
        <v>5</v>
      </c>
      <c r="BT88" s="12" t="s">
        <v>937</v>
      </c>
      <c r="BU88" s="12" t="s">
        <v>849</v>
      </c>
      <c r="BV88" s="12" t="s">
        <v>938</v>
      </c>
      <c r="BW88" s="16" t="n">
        <f aca="false">IF($R88="","",INDEX(Codes!$E$2:$E$108,MATCH("B1|"&amp;$R88,Codes!$A$2:$A$108,0)))</f>
        <v>5</v>
      </c>
      <c r="BX88" s="16" t="n">
        <f aca="false">IF($Y88="","",INDEX(Codes!$E$2:$E$108,MATCH("B4|"&amp;$Y88,Codes!$A$2:$A$108,0)))</f>
        <v>4</v>
      </c>
      <c r="BY88" s="16" t="n">
        <f aca="false">IF($I88="","",INDEX(Codes!$E$2:$E$108,MATCH("A7|"&amp;$I88,Codes!$A$2:$A$108,0)))</f>
        <v>4</v>
      </c>
      <c r="BZ88" s="16" t="n">
        <f aca="false">IF($AU88="","",INDEX(Codes!$E$2:$E$108,MATCH("B8|"&amp;$AU88,Codes!$A$2:$A$108,0)))</f>
        <v>3</v>
      </c>
      <c r="CA88" s="16" t="n">
        <f aca="false">IF($H88="","",INDEX(Codes!$E$2:$E$108,MATCH("A6|"&amp;$H88,Codes!$A$2:$A$108,0)))</f>
        <v>5</v>
      </c>
      <c r="CB88" s="16" t="n">
        <f aca="false">IF($X88="","",IF($X88="phone",1,0))</f>
        <v>0</v>
      </c>
      <c r="CC88" s="16" t="n">
        <f aca="false">IF($BC88="","",8-$BC88)</f>
        <v>3</v>
      </c>
      <c r="CD88" s="12" t="s">
        <v>648</v>
      </c>
      <c r="CE88" s="12" t="n">
        <v>0.655</v>
      </c>
      <c r="CF88" s="12" t="n">
        <v>-0.755</v>
      </c>
    </row>
    <row r="89" customFormat="false" ht="15" hidden="false" customHeight="false" outlineLevel="0" collapsed="false">
      <c r="A89" s="12" t="s">
        <v>939</v>
      </c>
      <c r="B89" s="12" t="s">
        <v>940</v>
      </c>
      <c r="C89" s="12" t="s">
        <v>274</v>
      </c>
      <c r="D89" s="12" t="s">
        <v>291</v>
      </c>
      <c r="E89" s="12" t="s">
        <v>308</v>
      </c>
      <c r="F89" s="12" t="s">
        <v>315</v>
      </c>
      <c r="G89" s="12" t="s">
        <v>333</v>
      </c>
      <c r="H89" s="12" t="s">
        <v>345</v>
      </c>
      <c r="I89" s="12" t="s">
        <v>359</v>
      </c>
      <c r="J89" s="12" t="n">
        <v>0</v>
      </c>
      <c r="K89" s="12" t="n">
        <v>0</v>
      </c>
      <c r="L89" s="12" t="n">
        <v>0</v>
      </c>
      <c r="M89" s="12" t="n">
        <v>0</v>
      </c>
      <c r="N89" s="12" t="n">
        <v>0</v>
      </c>
      <c r="O89" s="12" t="n">
        <v>1</v>
      </c>
      <c r="P89" s="12" t="n">
        <v>0</v>
      </c>
      <c r="Q89" s="12" t="n">
        <v>5</v>
      </c>
      <c r="R89" s="12" t="s">
        <v>401</v>
      </c>
      <c r="S89" s="12" t="n">
        <v>1</v>
      </c>
      <c r="T89" s="12" t="n">
        <v>0</v>
      </c>
      <c r="U89" s="12" t="n">
        <v>0</v>
      </c>
      <c r="V89" s="12" t="n">
        <v>1</v>
      </c>
      <c r="W89" s="12" t="n">
        <v>0</v>
      </c>
      <c r="X89" s="12" t="s">
        <v>407</v>
      </c>
      <c r="Y89" s="12" t="s">
        <v>437</v>
      </c>
      <c r="Z89" s="12" t="n">
        <v>1</v>
      </c>
      <c r="AA89" s="12" t="n">
        <v>1</v>
      </c>
      <c r="AB89" s="12" t="n">
        <v>0</v>
      </c>
      <c r="AC89" s="12" t="n">
        <v>1</v>
      </c>
      <c r="AD89" s="12" t="n">
        <v>1</v>
      </c>
      <c r="AE89" s="12" t="n">
        <v>0</v>
      </c>
      <c r="AF89" s="12" t="n">
        <v>0</v>
      </c>
      <c r="AG89" s="12" t="n">
        <v>1</v>
      </c>
      <c r="AH89" s="12" t="n">
        <v>1</v>
      </c>
      <c r="AI89" s="12" t="n">
        <v>1</v>
      </c>
      <c r="AJ89" s="12" t="n">
        <v>0</v>
      </c>
      <c r="AK89" s="12" t="n">
        <v>0</v>
      </c>
      <c r="AL89" s="12" t="n">
        <v>0</v>
      </c>
      <c r="AM89" s="12" t="n">
        <v>0</v>
      </c>
      <c r="AN89" s="12" t="n">
        <v>0</v>
      </c>
      <c r="AO89" s="12" t="n">
        <v>0</v>
      </c>
      <c r="AP89" s="12" t="n">
        <v>0</v>
      </c>
      <c r="AQ89" s="12" t="n">
        <v>1</v>
      </c>
      <c r="AR89" s="12" t="n">
        <v>1</v>
      </c>
      <c r="AS89" s="12" t="n">
        <v>0</v>
      </c>
      <c r="AT89" s="12" t="s">
        <v>480</v>
      </c>
      <c r="AU89" s="12" t="s">
        <v>395</v>
      </c>
      <c r="AV89" s="12" t="n">
        <v>0</v>
      </c>
      <c r="AW89" s="12" t="n">
        <v>1</v>
      </c>
      <c r="AX89" s="12" t="n">
        <v>1</v>
      </c>
      <c r="AY89" s="12" t="n">
        <v>0</v>
      </c>
      <c r="AZ89" s="12" t="n">
        <v>0</v>
      </c>
      <c r="BA89" s="12" t="n">
        <v>0</v>
      </c>
      <c r="BB89" s="12" t="n">
        <v>5</v>
      </c>
      <c r="BC89" s="12" t="n">
        <v>2</v>
      </c>
      <c r="BD89" s="12" t="n">
        <v>5</v>
      </c>
      <c r="BE89" s="12" t="n">
        <v>5</v>
      </c>
      <c r="BF89" s="12" t="n">
        <v>4</v>
      </c>
      <c r="BG89" s="12" t="n">
        <v>4</v>
      </c>
      <c r="BH89" s="12" t="n">
        <v>6</v>
      </c>
      <c r="BI89" s="12" t="n">
        <v>5</v>
      </c>
      <c r="BJ89" s="12" t="n">
        <v>4</v>
      </c>
      <c r="BK89" s="12" t="n">
        <v>2</v>
      </c>
      <c r="BL89" s="12" t="n">
        <v>3</v>
      </c>
      <c r="BM89" s="12" t="n">
        <v>4</v>
      </c>
      <c r="BN89" s="12" t="n">
        <v>1</v>
      </c>
      <c r="BO89" s="12" t="n">
        <v>4</v>
      </c>
      <c r="BP89" s="12" t="n">
        <v>3</v>
      </c>
      <c r="BQ89" s="12" t="n">
        <v>5</v>
      </c>
      <c r="BR89" s="12" t="n">
        <v>2</v>
      </c>
      <c r="BS89" s="12" t="n">
        <v>6</v>
      </c>
      <c r="BT89" s="12" t="s">
        <v>835</v>
      </c>
      <c r="BU89" s="12" t="s">
        <v>638</v>
      </c>
      <c r="BV89" s="12"/>
      <c r="BW89" s="16" t="n">
        <f aca="false">IF($R89="","",INDEX(Codes!$E$2:$E$108,MATCH("B1|"&amp;$R89,Codes!$A$2:$A$108,0)))</f>
        <v>5</v>
      </c>
      <c r="BX89" s="16" t="n">
        <f aca="false">IF($Y89="","",INDEX(Codes!$E$2:$E$108,MATCH("B4|"&amp;$Y89,Codes!$A$2:$A$108,0)))</f>
        <v>4</v>
      </c>
      <c r="BY89" s="16" t="n">
        <f aca="false">IF($I89="","",INDEX(Codes!$E$2:$E$108,MATCH("A7|"&amp;$I89,Codes!$A$2:$A$108,0)))</f>
        <v>1</v>
      </c>
      <c r="BZ89" s="16" t="n">
        <f aca="false">IF($AU89="","",INDEX(Codes!$E$2:$E$108,MATCH("B8|"&amp;$AU89,Codes!$A$2:$A$108,0)))</f>
        <v>2</v>
      </c>
      <c r="CA89" s="16" t="n">
        <f aca="false">IF($H89="","",INDEX(Codes!$E$2:$E$108,MATCH("A6|"&amp;$H89,Codes!$A$2:$A$108,0)))</f>
        <v>2</v>
      </c>
      <c r="CB89" s="16" t="n">
        <f aca="false">IF($X89="","",IF($X89="phone",1,0))</f>
        <v>0</v>
      </c>
      <c r="CC89" s="16" t="n">
        <f aca="false">IF($BC89="","",8-$BC89)</f>
        <v>6</v>
      </c>
      <c r="CD89" s="12" t="s">
        <v>620</v>
      </c>
      <c r="CE89" s="12" t="n">
        <v>0.609</v>
      </c>
      <c r="CF89" s="12" t="n">
        <v>1.76</v>
      </c>
    </row>
    <row r="90" customFormat="false" ht="15" hidden="false" customHeight="false" outlineLevel="0" collapsed="false">
      <c r="A90" s="12" t="s">
        <v>941</v>
      </c>
      <c r="B90" s="12" t="s">
        <v>942</v>
      </c>
      <c r="C90" s="12" t="s">
        <v>280</v>
      </c>
      <c r="D90" s="12" t="s">
        <v>293</v>
      </c>
      <c r="E90" s="12" t="s">
        <v>305</v>
      </c>
      <c r="F90" s="12" t="s">
        <v>321</v>
      </c>
      <c r="G90" s="12" t="s">
        <v>333</v>
      </c>
      <c r="H90" s="12" t="s">
        <v>345</v>
      </c>
      <c r="I90" s="12" t="s">
        <v>362</v>
      </c>
      <c r="J90" s="12" t="n">
        <v>1</v>
      </c>
      <c r="K90" s="12" t="n">
        <v>0</v>
      </c>
      <c r="L90" s="12" t="n">
        <v>0</v>
      </c>
      <c r="M90" s="12" t="n">
        <v>0</v>
      </c>
      <c r="N90" s="12" t="n">
        <v>0</v>
      </c>
      <c r="O90" s="12" t="n">
        <v>0</v>
      </c>
      <c r="P90" s="12" t="n">
        <v>0</v>
      </c>
      <c r="Q90" s="12" t="n">
        <v>6</v>
      </c>
      <c r="R90" s="12" t="s">
        <v>404</v>
      </c>
      <c r="S90" s="12" t="n">
        <v>0</v>
      </c>
      <c r="T90" s="12" t="n">
        <v>1</v>
      </c>
      <c r="U90" s="12" t="n">
        <v>0</v>
      </c>
      <c r="V90" s="12" t="n">
        <v>0</v>
      </c>
      <c r="W90" s="12" t="n">
        <v>0</v>
      </c>
      <c r="X90" s="12" t="s">
        <v>410</v>
      </c>
      <c r="Y90" s="12" t="s">
        <v>440</v>
      </c>
      <c r="Z90" s="12" t="n">
        <v>1</v>
      </c>
      <c r="AA90" s="12" t="n">
        <v>1</v>
      </c>
      <c r="AB90" s="12" t="n">
        <v>1</v>
      </c>
      <c r="AC90" s="12" t="n">
        <v>1</v>
      </c>
      <c r="AD90" s="12" t="n">
        <v>1</v>
      </c>
      <c r="AE90" s="12" t="n">
        <v>1</v>
      </c>
      <c r="AF90" s="12" t="n">
        <v>1</v>
      </c>
      <c r="AG90" s="12" t="n">
        <v>0</v>
      </c>
      <c r="AH90" s="12" t="n">
        <v>0</v>
      </c>
      <c r="AI90" s="12" t="n">
        <v>1</v>
      </c>
      <c r="AJ90" s="12" t="n">
        <v>0</v>
      </c>
      <c r="AK90" s="12" t="n">
        <v>0</v>
      </c>
      <c r="AL90" s="12" t="n">
        <v>1</v>
      </c>
      <c r="AM90" s="12" t="n">
        <v>0</v>
      </c>
      <c r="AN90" s="12" t="n">
        <v>0</v>
      </c>
      <c r="AO90" s="12" t="n">
        <v>0</v>
      </c>
      <c r="AP90" s="12" t="n">
        <v>0</v>
      </c>
      <c r="AQ90" s="12" t="n">
        <v>1</v>
      </c>
      <c r="AR90" s="12" t="n">
        <v>1</v>
      </c>
      <c r="AS90" s="12" t="n">
        <v>0</v>
      </c>
      <c r="AT90" s="12" t="s">
        <v>480</v>
      </c>
      <c r="AU90" s="12" t="s">
        <v>395</v>
      </c>
      <c r="AV90" s="12" t="n">
        <v>1</v>
      </c>
      <c r="AW90" s="12" t="n">
        <v>1</v>
      </c>
      <c r="AX90" s="12" t="n">
        <v>0</v>
      </c>
      <c r="AY90" s="12" t="n">
        <v>0</v>
      </c>
      <c r="AZ90" s="12" t="n">
        <v>1</v>
      </c>
      <c r="BA90" s="12" t="n">
        <v>0</v>
      </c>
      <c r="BB90" s="12" t="n">
        <v>5</v>
      </c>
      <c r="BC90" s="12" t="n">
        <v>3</v>
      </c>
      <c r="BD90" s="12" t="n">
        <v>5</v>
      </c>
      <c r="BE90" s="12" t="n">
        <v>4</v>
      </c>
      <c r="BF90" s="12" t="n">
        <v>3</v>
      </c>
      <c r="BG90" s="12" t="n">
        <v>3</v>
      </c>
      <c r="BH90" s="12" t="n">
        <v>6</v>
      </c>
      <c r="BI90" s="12" t="n">
        <v>6</v>
      </c>
      <c r="BJ90" s="12" t="n">
        <v>7</v>
      </c>
      <c r="BK90" s="12" t="n">
        <v>6</v>
      </c>
      <c r="BL90" s="12" t="n">
        <v>4</v>
      </c>
      <c r="BM90" s="12" t="n">
        <v>3</v>
      </c>
      <c r="BN90" s="12" t="n">
        <v>2</v>
      </c>
      <c r="BO90" s="12" t="n">
        <v>4</v>
      </c>
      <c r="BP90" s="12" t="n">
        <v>1</v>
      </c>
      <c r="BQ90" s="12" t="n">
        <v>3</v>
      </c>
      <c r="BR90" s="12" t="n">
        <v>6</v>
      </c>
      <c r="BS90" s="12" t="n">
        <v>5</v>
      </c>
      <c r="BT90" s="12" t="s">
        <v>943</v>
      </c>
      <c r="BU90" s="12"/>
      <c r="BV90" s="12"/>
      <c r="BW90" s="16" t="n">
        <f aca="false">IF($R90="","",INDEX(Codes!$E$2:$E$108,MATCH("B1|"&amp;$R90,Codes!$A$2:$A$108,0)))</f>
        <v>6</v>
      </c>
      <c r="BX90" s="16" t="n">
        <f aca="false">IF($Y90="","",INDEX(Codes!$E$2:$E$108,MATCH("B4|"&amp;$Y90,Codes!$A$2:$A$108,0)))</f>
        <v>5</v>
      </c>
      <c r="BY90" s="16" t="n">
        <f aca="false">IF($I90="","",INDEX(Codes!$E$2:$E$108,MATCH("A7|"&amp;$I90,Codes!$A$2:$A$108,0)))</f>
        <v>2</v>
      </c>
      <c r="BZ90" s="16" t="n">
        <f aca="false">IF($AU90="","",INDEX(Codes!$E$2:$E$108,MATCH("B8|"&amp;$AU90,Codes!$A$2:$A$108,0)))</f>
        <v>2</v>
      </c>
      <c r="CA90" s="16" t="n">
        <f aca="false">IF($H90="","",INDEX(Codes!$E$2:$E$108,MATCH("A6|"&amp;$H90,Codes!$A$2:$A$108,0)))</f>
        <v>2</v>
      </c>
      <c r="CB90" s="16" t="n">
        <f aca="false">IF($X90="","",IF($X90="phone",1,0))</f>
        <v>0</v>
      </c>
      <c r="CC90" s="16" t="n">
        <f aca="false">IF($BC90="","",8-$BC90)</f>
        <v>5</v>
      </c>
      <c r="CD90" s="12" t="s">
        <v>614</v>
      </c>
      <c r="CE90" s="12" t="n">
        <v>-1.796</v>
      </c>
      <c r="CF90" s="12" t="n">
        <v>2.394</v>
      </c>
    </row>
    <row r="91" customFormat="false" ht="15" hidden="false" customHeight="false" outlineLevel="0" collapsed="false">
      <c r="A91" s="12" t="s">
        <v>944</v>
      </c>
      <c r="B91" s="12" t="s">
        <v>945</v>
      </c>
      <c r="C91" s="12" t="s">
        <v>277</v>
      </c>
      <c r="D91" s="12" t="s">
        <v>291</v>
      </c>
      <c r="E91" s="12" t="s">
        <v>305</v>
      </c>
      <c r="F91" s="12" t="s">
        <v>315</v>
      </c>
      <c r="G91" s="12" t="s">
        <v>336</v>
      </c>
      <c r="H91" s="12" t="s">
        <v>343</v>
      </c>
      <c r="I91" s="12" t="s">
        <v>356</v>
      </c>
      <c r="J91" s="12" t="n">
        <v>1</v>
      </c>
      <c r="K91" s="12" t="n">
        <v>0</v>
      </c>
      <c r="L91" s="12" t="n">
        <v>0</v>
      </c>
      <c r="M91" s="12" t="n">
        <v>0</v>
      </c>
      <c r="N91" s="12" t="n">
        <v>0</v>
      </c>
      <c r="O91" s="12" t="n">
        <v>0</v>
      </c>
      <c r="P91" s="12" t="n">
        <v>0</v>
      </c>
      <c r="Q91" s="12" t="n">
        <v>7</v>
      </c>
      <c r="R91" s="12" t="s">
        <v>398</v>
      </c>
      <c r="S91" s="12" t="n">
        <v>1</v>
      </c>
      <c r="T91" s="12" t="n">
        <v>0</v>
      </c>
      <c r="U91" s="12" t="n">
        <v>0</v>
      </c>
      <c r="V91" s="12" t="n">
        <v>0</v>
      </c>
      <c r="W91" s="12" t="n">
        <v>0</v>
      </c>
      <c r="X91" s="12" t="s">
        <v>410</v>
      </c>
      <c r="Y91" s="12" t="s">
        <v>437</v>
      </c>
      <c r="Z91" s="12" t="n">
        <v>1</v>
      </c>
      <c r="AA91" s="12" t="n">
        <v>1</v>
      </c>
      <c r="AB91" s="12" t="n">
        <v>0</v>
      </c>
      <c r="AC91" s="12" t="n">
        <v>1</v>
      </c>
      <c r="AD91" s="12" t="n">
        <v>0</v>
      </c>
      <c r="AE91" s="12" t="n">
        <v>0</v>
      </c>
      <c r="AF91" s="12" t="n">
        <v>0</v>
      </c>
      <c r="AG91" s="12" t="n">
        <v>1</v>
      </c>
      <c r="AH91" s="12" t="n">
        <v>1</v>
      </c>
      <c r="AI91" s="12" t="n">
        <v>0</v>
      </c>
      <c r="AJ91" s="12" t="n">
        <v>1</v>
      </c>
      <c r="AK91" s="12" t="n">
        <v>0</v>
      </c>
      <c r="AL91" s="12" t="n">
        <v>0</v>
      </c>
      <c r="AM91" s="12" t="n">
        <v>0</v>
      </c>
      <c r="AN91" s="12" t="n">
        <v>0</v>
      </c>
      <c r="AO91" s="12" t="n">
        <v>1</v>
      </c>
      <c r="AP91" s="12" t="n">
        <v>0</v>
      </c>
      <c r="AQ91" s="12" t="n">
        <v>1</v>
      </c>
      <c r="AR91" s="12" t="n">
        <v>1</v>
      </c>
      <c r="AS91" s="12" t="n">
        <v>0</v>
      </c>
      <c r="AT91" s="12" t="s">
        <v>504</v>
      </c>
      <c r="AU91" s="12" t="s">
        <v>356</v>
      </c>
      <c r="AV91" s="12" t="n">
        <v>0</v>
      </c>
      <c r="AW91" s="12" t="n">
        <v>1</v>
      </c>
      <c r="AX91" s="12" t="n">
        <v>1</v>
      </c>
      <c r="AY91" s="12" t="n">
        <v>0</v>
      </c>
      <c r="AZ91" s="12" t="n">
        <v>0</v>
      </c>
      <c r="BA91" s="12" t="n">
        <v>0</v>
      </c>
      <c r="BB91" s="12" t="n">
        <v>4</v>
      </c>
      <c r="BC91" s="12" t="n">
        <v>3</v>
      </c>
      <c r="BD91" s="12" t="n">
        <v>4</v>
      </c>
      <c r="BE91" s="12" t="n">
        <v>5</v>
      </c>
      <c r="BF91" s="12" t="n">
        <v>3</v>
      </c>
      <c r="BG91" s="12" t="n">
        <v>3</v>
      </c>
      <c r="BH91" s="12" t="n">
        <v>4</v>
      </c>
      <c r="BI91" s="12" t="n">
        <v>7</v>
      </c>
      <c r="BJ91" s="12" t="n">
        <v>5</v>
      </c>
      <c r="BK91" s="12" t="n">
        <v>4</v>
      </c>
      <c r="BL91" s="12" t="n">
        <v>4</v>
      </c>
      <c r="BM91" s="12" t="n">
        <v>3</v>
      </c>
      <c r="BN91" s="12" t="n">
        <v>1</v>
      </c>
      <c r="BO91" s="12" t="n">
        <v>3</v>
      </c>
      <c r="BP91" s="12" t="n">
        <v>5</v>
      </c>
      <c r="BQ91" s="12" t="n">
        <v>4</v>
      </c>
      <c r="BR91" s="12" t="n">
        <v>2</v>
      </c>
      <c r="BS91" s="12" t="n">
        <v>6</v>
      </c>
      <c r="BT91" s="12" t="s">
        <v>946</v>
      </c>
      <c r="BU91" s="12" t="s">
        <v>947</v>
      </c>
      <c r="BV91" s="12" t="s">
        <v>717</v>
      </c>
      <c r="BW91" s="16" t="n">
        <f aca="false">IF($R91="","",INDEX(Codes!$E$2:$E$108,MATCH("B1|"&amp;$R91,Codes!$A$2:$A$108,0)))</f>
        <v>4</v>
      </c>
      <c r="BX91" s="16" t="n">
        <f aca="false">IF($Y91="","",INDEX(Codes!$E$2:$E$108,MATCH("B4|"&amp;$Y91,Codes!$A$2:$A$108,0)))</f>
        <v>4</v>
      </c>
      <c r="BY91" s="16" t="n">
        <f aca="false">IF($I91="","",INDEX(Codes!$E$2:$E$108,MATCH("A7|"&amp;$I91,Codes!$A$2:$A$108,0)))</f>
        <v>0</v>
      </c>
      <c r="BZ91" s="16" t="n">
        <f aca="false">IF($AU91="","",INDEX(Codes!$E$2:$E$108,MATCH("B8|"&amp;$AU91,Codes!$A$2:$A$108,0)))</f>
        <v>0</v>
      </c>
      <c r="CA91" s="16" t="n">
        <f aca="false">IF($H91="","",INDEX(Codes!$E$2:$E$108,MATCH("A6|"&amp;$H91,Codes!$A$2:$A$108,0)))</f>
        <v>1</v>
      </c>
      <c r="CB91" s="16" t="n">
        <f aca="false">IF($X91="","",IF($X91="phone",1,0))</f>
        <v>0</v>
      </c>
      <c r="CC91" s="16" t="n">
        <f aca="false">IF($BC91="","",8-$BC91)</f>
        <v>5</v>
      </c>
      <c r="CD91" s="12" t="s">
        <v>620</v>
      </c>
      <c r="CE91" s="12" t="n">
        <v>0.469</v>
      </c>
      <c r="CF91" s="12" t="n">
        <v>1.897</v>
      </c>
    </row>
    <row r="92" customFormat="false" ht="15" hidden="false" customHeight="false" outlineLevel="0" collapsed="false">
      <c r="A92" s="12" t="s">
        <v>948</v>
      </c>
      <c r="B92" s="12" t="s">
        <v>949</v>
      </c>
      <c r="C92" s="12" t="s">
        <v>274</v>
      </c>
      <c r="D92" s="12" t="s">
        <v>293</v>
      </c>
      <c r="E92" s="12" t="s">
        <v>308</v>
      </c>
      <c r="F92" s="12" t="s">
        <v>330</v>
      </c>
      <c r="G92" s="12" t="s">
        <v>333</v>
      </c>
      <c r="H92" s="12" t="s">
        <v>345</v>
      </c>
      <c r="I92" s="12" t="s">
        <v>359</v>
      </c>
      <c r="J92" s="12" t="n">
        <v>0</v>
      </c>
      <c r="K92" s="12" t="n">
        <v>1</v>
      </c>
      <c r="L92" s="12" t="n">
        <v>0</v>
      </c>
      <c r="M92" s="12" t="n">
        <v>0</v>
      </c>
      <c r="N92" s="12" t="n">
        <v>0</v>
      </c>
      <c r="O92" s="12" t="n">
        <v>0</v>
      </c>
      <c r="P92" s="12" t="n">
        <v>0</v>
      </c>
      <c r="Q92" s="12" t="n">
        <v>6</v>
      </c>
      <c r="R92" s="12" t="s">
        <v>401</v>
      </c>
      <c r="S92" s="12" t="n">
        <v>1</v>
      </c>
      <c r="T92" s="12" t="n">
        <v>0</v>
      </c>
      <c r="U92" s="12" t="n">
        <v>0</v>
      </c>
      <c r="V92" s="12" t="n">
        <v>1</v>
      </c>
      <c r="W92" s="12" t="n">
        <v>0</v>
      </c>
      <c r="X92" s="12" t="s">
        <v>419</v>
      </c>
      <c r="Y92" s="12" t="s">
        <v>440</v>
      </c>
      <c r="Z92" s="12" t="n">
        <v>1</v>
      </c>
      <c r="AA92" s="12" t="n">
        <v>1</v>
      </c>
      <c r="AB92" s="12" t="n">
        <v>1</v>
      </c>
      <c r="AC92" s="12" t="n">
        <v>1</v>
      </c>
      <c r="AD92" s="12" t="n">
        <v>1</v>
      </c>
      <c r="AE92" s="12" t="n">
        <v>0</v>
      </c>
      <c r="AF92" s="12" t="n">
        <v>0</v>
      </c>
      <c r="AG92" s="12" t="n">
        <v>0</v>
      </c>
      <c r="AH92" s="12" t="n">
        <v>1</v>
      </c>
      <c r="AI92" s="12" t="n">
        <v>0</v>
      </c>
      <c r="AJ92" s="12" t="n">
        <v>1</v>
      </c>
      <c r="AK92" s="12" t="n">
        <v>0</v>
      </c>
      <c r="AL92" s="12" t="n">
        <v>1</v>
      </c>
      <c r="AM92" s="12" t="n">
        <v>1</v>
      </c>
      <c r="AN92" s="12" t="n">
        <v>0</v>
      </c>
      <c r="AO92" s="12" t="n">
        <v>0</v>
      </c>
      <c r="AP92" s="12" t="n">
        <v>0</v>
      </c>
      <c r="AQ92" s="12" t="n">
        <v>0</v>
      </c>
      <c r="AR92" s="12" t="n">
        <v>1</v>
      </c>
      <c r="AS92" s="12" t="n">
        <v>0</v>
      </c>
      <c r="AT92" s="12" t="s">
        <v>480</v>
      </c>
      <c r="AU92" s="12" t="s">
        <v>521</v>
      </c>
      <c r="AV92" s="12" t="n">
        <v>0</v>
      </c>
      <c r="AW92" s="12" t="n">
        <v>1</v>
      </c>
      <c r="AX92" s="12" t="n">
        <v>0</v>
      </c>
      <c r="AY92" s="12" t="n">
        <v>0</v>
      </c>
      <c r="AZ92" s="12" t="n">
        <v>0</v>
      </c>
      <c r="BA92" s="12" t="n">
        <v>0</v>
      </c>
      <c r="BB92" s="12" t="n">
        <v>1</v>
      </c>
      <c r="BC92" s="12" t="n">
        <v>6</v>
      </c>
      <c r="BD92" s="12" t="n">
        <v>4</v>
      </c>
      <c r="BE92" s="12" t="n">
        <v>4</v>
      </c>
      <c r="BF92" s="12" t="n">
        <v>4</v>
      </c>
      <c r="BG92" s="12" t="n">
        <v>1</v>
      </c>
      <c r="BH92" s="12" t="n">
        <v>4</v>
      </c>
      <c r="BI92" s="12" t="n">
        <v>5</v>
      </c>
      <c r="BJ92" s="12" t="n">
        <v>2</v>
      </c>
      <c r="BK92" s="12" t="n">
        <v>3</v>
      </c>
      <c r="BL92" s="12" t="n">
        <v>2</v>
      </c>
      <c r="BM92" s="12" t="n">
        <v>2</v>
      </c>
      <c r="BN92" s="12" t="n">
        <v>1</v>
      </c>
      <c r="BO92" s="12" t="n">
        <v>3</v>
      </c>
      <c r="BP92" s="12" t="n">
        <v>4</v>
      </c>
      <c r="BQ92" s="12" t="n">
        <v>5</v>
      </c>
      <c r="BR92" s="12" t="n">
        <v>2</v>
      </c>
      <c r="BS92" s="12" t="n">
        <v>6</v>
      </c>
      <c r="BT92" s="12" t="s">
        <v>950</v>
      </c>
      <c r="BU92" s="12" t="s">
        <v>772</v>
      </c>
      <c r="BV92" s="12" t="s">
        <v>951</v>
      </c>
      <c r="BW92" s="16" t="n">
        <f aca="false">IF($R92="","",INDEX(Codes!$E$2:$E$108,MATCH("B1|"&amp;$R92,Codes!$A$2:$A$108,0)))</f>
        <v>5</v>
      </c>
      <c r="BX92" s="16" t="n">
        <f aca="false">IF($Y92="","",INDEX(Codes!$E$2:$E$108,MATCH("B4|"&amp;$Y92,Codes!$A$2:$A$108,0)))</f>
        <v>5</v>
      </c>
      <c r="BY92" s="16" t="n">
        <f aca="false">IF($I92="","",INDEX(Codes!$E$2:$E$108,MATCH("A7|"&amp;$I92,Codes!$A$2:$A$108,0)))</f>
        <v>1</v>
      </c>
      <c r="BZ92" s="16" t="n">
        <f aca="false">IF($AU92="","",INDEX(Codes!$E$2:$E$108,MATCH("B8|"&amp;$AU92,Codes!$A$2:$A$108,0)))</f>
        <v>4</v>
      </c>
      <c r="CA92" s="16" t="n">
        <f aca="false">IF($H92="","",INDEX(Codes!$E$2:$E$108,MATCH("A6|"&amp;$H92,Codes!$A$2:$A$108,0)))</f>
        <v>2</v>
      </c>
      <c r="CB92" s="16" t="n">
        <f aca="false">IF($X92="","",IF($X92="phone",1,0))</f>
        <v>0</v>
      </c>
      <c r="CC92" s="16" t="n">
        <f aca="false">IF($BC92="","",8-$BC92)</f>
        <v>2</v>
      </c>
      <c r="CD92" s="12" t="s">
        <v>671</v>
      </c>
      <c r="CE92" s="12" t="n">
        <v>3.979</v>
      </c>
      <c r="CF92" s="12" t="n">
        <v>0.971</v>
      </c>
    </row>
    <row r="93" customFormat="false" ht="15" hidden="false" customHeight="false" outlineLevel="0" collapsed="false">
      <c r="A93" s="12" t="s">
        <v>952</v>
      </c>
      <c r="B93" s="12" t="s">
        <v>953</v>
      </c>
      <c r="C93" s="12" t="s">
        <v>283</v>
      </c>
      <c r="D93" s="12" t="s">
        <v>297</v>
      </c>
      <c r="E93" s="12" t="s">
        <v>305</v>
      </c>
      <c r="F93" s="12" t="s">
        <v>315</v>
      </c>
      <c r="G93" s="12" t="s">
        <v>339</v>
      </c>
      <c r="H93" s="12" t="s">
        <v>345</v>
      </c>
      <c r="I93" s="12" t="s">
        <v>362</v>
      </c>
      <c r="J93" s="12" t="n">
        <v>1</v>
      </c>
      <c r="K93" s="12" t="n">
        <v>0</v>
      </c>
      <c r="L93" s="12" t="n">
        <v>0</v>
      </c>
      <c r="M93" s="12" t="n">
        <v>0</v>
      </c>
      <c r="N93" s="12" t="n">
        <v>0</v>
      </c>
      <c r="O93" s="12" t="n">
        <v>0</v>
      </c>
      <c r="P93" s="12" t="n">
        <v>0</v>
      </c>
      <c r="Q93" s="12" t="n">
        <v>6</v>
      </c>
      <c r="R93" s="12" t="s">
        <v>404</v>
      </c>
      <c r="S93" s="12" t="n">
        <v>1</v>
      </c>
      <c r="T93" s="12" t="n">
        <v>0</v>
      </c>
      <c r="U93" s="12" t="n">
        <v>0</v>
      </c>
      <c r="V93" s="12" t="n">
        <v>0</v>
      </c>
      <c r="W93" s="12" t="n">
        <v>0</v>
      </c>
      <c r="X93" s="12" t="s">
        <v>407</v>
      </c>
      <c r="Y93" s="12" t="s">
        <v>437</v>
      </c>
      <c r="Z93" s="12" t="n">
        <v>1</v>
      </c>
      <c r="AA93" s="12" t="n">
        <v>1</v>
      </c>
      <c r="AB93" s="12" t="n">
        <v>1</v>
      </c>
      <c r="AC93" s="12" t="n">
        <v>1</v>
      </c>
      <c r="AD93" s="12" t="n">
        <v>0</v>
      </c>
      <c r="AE93" s="12" t="n">
        <v>1</v>
      </c>
      <c r="AF93" s="12" t="n">
        <v>0</v>
      </c>
      <c r="AG93" s="12" t="n">
        <v>1</v>
      </c>
      <c r="AH93" s="12" t="n">
        <v>0</v>
      </c>
      <c r="AI93" s="12" t="n">
        <v>1</v>
      </c>
      <c r="AJ93" s="12" t="n">
        <v>1</v>
      </c>
      <c r="AK93" s="12" t="n">
        <v>0</v>
      </c>
      <c r="AL93" s="12" t="n">
        <v>0</v>
      </c>
      <c r="AM93" s="12" t="n">
        <v>1</v>
      </c>
      <c r="AN93" s="12" t="n">
        <v>0</v>
      </c>
      <c r="AO93" s="12" t="n">
        <v>0</v>
      </c>
      <c r="AP93" s="12" t="n">
        <v>0</v>
      </c>
      <c r="AQ93" s="12" t="n">
        <v>0</v>
      </c>
      <c r="AR93" s="12" t="n">
        <v>1</v>
      </c>
      <c r="AS93" s="12" t="n">
        <v>0</v>
      </c>
      <c r="AT93" s="12" t="s">
        <v>480</v>
      </c>
      <c r="AU93" s="12" t="s">
        <v>398</v>
      </c>
      <c r="AV93" s="12" t="n">
        <v>1</v>
      </c>
      <c r="AW93" s="12" t="n">
        <v>0</v>
      </c>
      <c r="AX93" s="12" t="n">
        <v>0</v>
      </c>
      <c r="AY93" s="12" t="n">
        <v>0</v>
      </c>
      <c r="AZ93" s="12" t="n">
        <v>1</v>
      </c>
      <c r="BA93" s="12" t="n">
        <v>0</v>
      </c>
      <c r="BB93" s="12" t="n">
        <v>4</v>
      </c>
      <c r="BC93" s="12" t="n">
        <v>4</v>
      </c>
      <c r="BD93" s="12" t="n">
        <v>5</v>
      </c>
      <c r="BE93" s="12" t="n">
        <v>4</v>
      </c>
      <c r="BF93" s="12" t="n">
        <v>3</v>
      </c>
      <c r="BG93" s="12" t="n">
        <v>5</v>
      </c>
      <c r="BH93" s="12" t="n">
        <v>5</v>
      </c>
      <c r="BI93" s="12" t="n">
        <v>5</v>
      </c>
      <c r="BJ93" s="12" t="n">
        <v>4</v>
      </c>
      <c r="BK93" s="12" t="n">
        <v>3</v>
      </c>
      <c r="BL93" s="12" t="n">
        <v>2</v>
      </c>
      <c r="BM93" s="12" t="n">
        <v>4</v>
      </c>
      <c r="BN93" s="12" t="n">
        <v>2</v>
      </c>
      <c r="BO93" s="12" t="n">
        <v>5</v>
      </c>
      <c r="BP93" s="12" t="n">
        <v>1</v>
      </c>
      <c r="BQ93" s="12" t="n">
        <v>3</v>
      </c>
      <c r="BR93" s="12" t="n">
        <v>6</v>
      </c>
      <c r="BS93" s="12" t="n">
        <v>4</v>
      </c>
      <c r="BT93" s="12" t="s">
        <v>954</v>
      </c>
      <c r="BU93" s="12"/>
      <c r="BV93" s="12" t="s">
        <v>955</v>
      </c>
      <c r="BW93" s="16" t="n">
        <f aca="false">IF($R93="","",INDEX(Codes!$E$2:$E$108,MATCH("B1|"&amp;$R93,Codes!$A$2:$A$108,0)))</f>
        <v>6</v>
      </c>
      <c r="BX93" s="16" t="n">
        <f aca="false">IF($Y93="","",INDEX(Codes!$E$2:$E$108,MATCH("B4|"&amp;$Y93,Codes!$A$2:$A$108,0)))</f>
        <v>4</v>
      </c>
      <c r="BY93" s="16" t="n">
        <f aca="false">IF($I93="","",INDEX(Codes!$E$2:$E$108,MATCH("A7|"&amp;$I93,Codes!$A$2:$A$108,0)))</f>
        <v>2</v>
      </c>
      <c r="BZ93" s="16" t="n">
        <f aca="false">IF($AU93="","",INDEX(Codes!$E$2:$E$108,MATCH("B8|"&amp;$AU93,Codes!$A$2:$A$108,0)))</f>
        <v>3</v>
      </c>
      <c r="CA93" s="16" t="n">
        <f aca="false">IF($H93="","",INDEX(Codes!$E$2:$E$108,MATCH("A6|"&amp;$H93,Codes!$A$2:$A$108,0)))</f>
        <v>2</v>
      </c>
      <c r="CB93" s="16" t="n">
        <f aca="false">IF($X93="","",IF($X93="phone",1,0))</f>
        <v>0</v>
      </c>
      <c r="CC93" s="16" t="n">
        <f aca="false">IF($BC93="","",8-$BC93)</f>
        <v>4</v>
      </c>
      <c r="CD93" s="12" t="s">
        <v>614</v>
      </c>
      <c r="CE93" s="12" t="n">
        <v>-0.452</v>
      </c>
      <c r="CF93" s="12" t="n">
        <v>1.669</v>
      </c>
    </row>
    <row r="94" customFormat="false" ht="15" hidden="false" customHeight="false" outlineLevel="0" collapsed="false">
      <c r="A94" s="12" t="s">
        <v>956</v>
      </c>
      <c r="B94" s="12" t="s">
        <v>957</v>
      </c>
      <c r="C94" s="12" t="s">
        <v>274</v>
      </c>
      <c r="D94" s="12" t="s">
        <v>293</v>
      </c>
      <c r="E94" s="12" t="s">
        <v>308</v>
      </c>
      <c r="F94" s="12" t="s">
        <v>315</v>
      </c>
      <c r="G94" s="12" t="s">
        <v>339</v>
      </c>
      <c r="H94" s="12" t="s">
        <v>347</v>
      </c>
      <c r="I94" s="12" t="s">
        <v>365</v>
      </c>
      <c r="J94" s="12" t="n">
        <v>1</v>
      </c>
      <c r="K94" s="12" t="n">
        <v>0</v>
      </c>
      <c r="L94" s="12" t="n">
        <v>0</v>
      </c>
      <c r="M94" s="12" t="n">
        <v>0</v>
      </c>
      <c r="N94" s="12" t="n">
        <v>0</v>
      </c>
      <c r="O94" s="12" t="n">
        <v>0</v>
      </c>
      <c r="P94" s="12" t="n">
        <v>0</v>
      </c>
      <c r="Q94" s="12" t="n">
        <v>4</v>
      </c>
      <c r="R94" s="12" t="s">
        <v>395</v>
      </c>
      <c r="S94" s="12" t="n">
        <v>1</v>
      </c>
      <c r="T94" s="12" t="n">
        <v>0</v>
      </c>
      <c r="U94" s="12" t="n">
        <v>0</v>
      </c>
      <c r="V94" s="12" t="n">
        <v>0</v>
      </c>
      <c r="W94" s="12" t="n">
        <v>0</v>
      </c>
      <c r="X94" s="12" t="s">
        <v>407</v>
      </c>
      <c r="Y94" s="12" t="s">
        <v>437</v>
      </c>
      <c r="Z94" s="12" t="n">
        <v>1</v>
      </c>
      <c r="AA94" s="12" t="n">
        <v>0</v>
      </c>
      <c r="AB94" s="12" t="n">
        <v>1</v>
      </c>
      <c r="AC94" s="12" t="n">
        <v>1</v>
      </c>
      <c r="AD94" s="12" t="n">
        <v>1</v>
      </c>
      <c r="AE94" s="12" t="n">
        <v>1</v>
      </c>
      <c r="AF94" s="12" t="n">
        <v>0</v>
      </c>
      <c r="AG94" s="12" t="n">
        <v>0</v>
      </c>
      <c r="AH94" s="12" t="n">
        <v>0</v>
      </c>
      <c r="AI94" s="12" t="n">
        <v>0</v>
      </c>
      <c r="AJ94" s="12" t="n">
        <v>0</v>
      </c>
      <c r="AK94" s="12" t="n">
        <v>0</v>
      </c>
      <c r="AL94" s="12" t="n">
        <v>1</v>
      </c>
      <c r="AM94" s="12" t="n">
        <v>1</v>
      </c>
      <c r="AN94" s="12" t="n">
        <v>0</v>
      </c>
      <c r="AO94" s="12" t="n">
        <v>0</v>
      </c>
      <c r="AP94" s="12" t="n">
        <v>1</v>
      </c>
      <c r="AQ94" s="12" t="n">
        <v>0</v>
      </c>
      <c r="AR94" s="12" t="n">
        <v>0</v>
      </c>
      <c r="AS94" s="12" t="n">
        <v>0</v>
      </c>
      <c r="AT94" s="12" t="s">
        <v>483</v>
      </c>
      <c r="AU94" s="12" t="s">
        <v>343</v>
      </c>
      <c r="AV94" s="12" t="n">
        <v>0</v>
      </c>
      <c r="AW94" s="12" t="n">
        <v>1</v>
      </c>
      <c r="AX94" s="12" t="n">
        <v>0</v>
      </c>
      <c r="AY94" s="12" t="n">
        <v>1</v>
      </c>
      <c r="AZ94" s="12" t="n">
        <v>1</v>
      </c>
      <c r="BA94" s="12" t="n">
        <v>0</v>
      </c>
      <c r="BB94" s="12" t="n">
        <v>4</v>
      </c>
      <c r="BC94" s="12" t="n">
        <v>5</v>
      </c>
      <c r="BD94" s="12" t="n">
        <v>3</v>
      </c>
      <c r="BE94" s="12" t="n">
        <v>6</v>
      </c>
      <c r="BF94" s="12" t="n">
        <v>3</v>
      </c>
      <c r="BG94" s="12" t="n">
        <v>4</v>
      </c>
      <c r="BH94" s="12" t="n">
        <v>3</v>
      </c>
      <c r="BI94" s="12" t="n">
        <v>4</v>
      </c>
      <c r="BJ94" s="12" t="n">
        <v>5</v>
      </c>
      <c r="BK94" s="12" t="n">
        <v>4</v>
      </c>
      <c r="BL94" s="12" t="n">
        <v>3</v>
      </c>
      <c r="BM94" s="12" t="n">
        <v>2</v>
      </c>
      <c r="BN94" s="12" t="n">
        <v>2</v>
      </c>
      <c r="BO94" s="12" t="n">
        <v>1</v>
      </c>
      <c r="BP94" s="12" t="n">
        <v>4</v>
      </c>
      <c r="BQ94" s="12" t="n">
        <v>5</v>
      </c>
      <c r="BR94" s="12" t="n">
        <v>3</v>
      </c>
      <c r="BS94" s="12" t="n">
        <v>6</v>
      </c>
      <c r="BT94" s="12" t="s">
        <v>958</v>
      </c>
      <c r="BU94" s="12" t="s">
        <v>647</v>
      </c>
      <c r="BV94" s="12"/>
      <c r="BW94" s="16" t="n">
        <f aca="false">IF($R94="","",INDEX(Codes!$E$2:$E$108,MATCH("B1|"&amp;$R94,Codes!$A$2:$A$108,0)))</f>
        <v>3</v>
      </c>
      <c r="BX94" s="16" t="n">
        <f aca="false">IF($Y94="","",INDEX(Codes!$E$2:$E$108,MATCH("B4|"&amp;$Y94,Codes!$A$2:$A$108,0)))</f>
        <v>4</v>
      </c>
      <c r="BY94" s="16" t="n">
        <f aca="false">IF($I94="","",INDEX(Codes!$E$2:$E$108,MATCH("A7|"&amp;$I94,Codes!$A$2:$A$108,0)))</f>
        <v>3</v>
      </c>
      <c r="BZ94" s="16" t="n">
        <f aca="false">IF($AU94="","",INDEX(Codes!$E$2:$E$108,MATCH("B8|"&amp;$AU94,Codes!$A$2:$A$108,0)))</f>
        <v>1</v>
      </c>
      <c r="CA94" s="16" t="n">
        <f aca="false">IF($H94="","",INDEX(Codes!$E$2:$E$108,MATCH("A6|"&amp;$H94,Codes!$A$2:$A$108,0)))</f>
        <v>3</v>
      </c>
      <c r="CB94" s="16" t="n">
        <f aca="false">IF($X94="","",IF($X94="phone",1,0))</f>
        <v>0</v>
      </c>
      <c r="CC94" s="16" t="n">
        <f aca="false">IF($BC94="","",8-$BC94)</f>
        <v>3</v>
      </c>
      <c r="CD94" s="12" t="s">
        <v>648</v>
      </c>
      <c r="CE94" s="12" t="n">
        <v>1.261</v>
      </c>
      <c r="CF94" s="12" t="n">
        <v>-2.083</v>
      </c>
    </row>
    <row r="95" customFormat="false" ht="15" hidden="false" customHeight="false" outlineLevel="0" collapsed="false">
      <c r="A95" s="12" t="s">
        <v>959</v>
      </c>
      <c r="B95" s="12" t="s">
        <v>960</v>
      </c>
      <c r="C95" s="12" t="s">
        <v>280</v>
      </c>
      <c r="D95" s="12" t="s">
        <v>295</v>
      </c>
      <c r="E95" s="12" t="s">
        <v>302</v>
      </c>
      <c r="F95" s="12" t="s">
        <v>324</v>
      </c>
      <c r="G95" s="12" t="s">
        <v>339</v>
      </c>
      <c r="H95" s="12" t="s">
        <v>347</v>
      </c>
      <c r="I95" s="12" t="s">
        <v>359</v>
      </c>
      <c r="J95" s="12" t="n">
        <v>1</v>
      </c>
      <c r="K95" s="12" t="n">
        <v>0</v>
      </c>
      <c r="L95" s="12" t="n">
        <v>0</v>
      </c>
      <c r="M95" s="12" t="n">
        <v>0</v>
      </c>
      <c r="N95" s="12" t="n">
        <v>0</v>
      </c>
      <c r="O95" s="12" t="n">
        <v>0</v>
      </c>
      <c r="P95" s="12" t="n">
        <v>0</v>
      </c>
      <c r="Q95" s="12" t="n">
        <v>3</v>
      </c>
      <c r="R95" s="12" t="s">
        <v>395</v>
      </c>
      <c r="S95" s="12" t="n">
        <v>0</v>
      </c>
      <c r="T95" s="12" t="n">
        <v>0</v>
      </c>
      <c r="U95" s="12" t="n">
        <v>1</v>
      </c>
      <c r="V95" s="12" t="n">
        <v>0</v>
      </c>
      <c r="W95" s="12" t="n">
        <v>0</v>
      </c>
      <c r="X95" s="12" t="s">
        <v>410</v>
      </c>
      <c r="Y95" s="12" t="s">
        <v>431</v>
      </c>
      <c r="Z95" s="12" t="n">
        <v>1</v>
      </c>
      <c r="AA95" s="12" t="n">
        <v>1</v>
      </c>
      <c r="AB95" s="12" t="n">
        <v>0</v>
      </c>
      <c r="AC95" s="12" t="n">
        <v>1</v>
      </c>
      <c r="AD95" s="12" t="n">
        <v>0</v>
      </c>
      <c r="AE95" s="12" t="n">
        <v>0</v>
      </c>
      <c r="AF95" s="12" t="n">
        <v>0</v>
      </c>
      <c r="AG95" s="12" t="n">
        <v>0</v>
      </c>
      <c r="AH95" s="12" t="n">
        <v>1</v>
      </c>
      <c r="AI95" s="12" t="n">
        <v>0</v>
      </c>
      <c r="AJ95" s="12" t="n">
        <v>1</v>
      </c>
      <c r="AK95" s="12" t="n">
        <v>0</v>
      </c>
      <c r="AL95" s="12" t="n">
        <v>0</v>
      </c>
      <c r="AM95" s="12" t="n">
        <v>1</v>
      </c>
      <c r="AN95" s="12" t="n">
        <v>0</v>
      </c>
      <c r="AO95" s="12" t="n">
        <v>1</v>
      </c>
      <c r="AP95" s="12" t="n">
        <v>0</v>
      </c>
      <c r="AQ95" s="12" t="n">
        <v>0</v>
      </c>
      <c r="AR95" s="12" t="n">
        <v>1</v>
      </c>
      <c r="AS95" s="12" t="n">
        <v>0</v>
      </c>
      <c r="AT95" s="12" t="s">
        <v>507</v>
      </c>
      <c r="AU95" s="12" t="s">
        <v>343</v>
      </c>
      <c r="AV95" s="12" t="n">
        <v>1</v>
      </c>
      <c r="AW95" s="12" t="n">
        <v>1</v>
      </c>
      <c r="AX95" s="12" t="n">
        <v>1</v>
      </c>
      <c r="AY95" s="12" t="n">
        <v>0</v>
      </c>
      <c r="AZ95" s="12" t="n">
        <v>1</v>
      </c>
      <c r="BA95" s="12" t="n">
        <v>0</v>
      </c>
      <c r="BB95" s="12" t="n">
        <v>4</v>
      </c>
      <c r="BC95" s="12" t="n">
        <v>3</v>
      </c>
      <c r="BD95" s="12" t="n">
        <v>2</v>
      </c>
      <c r="BE95" s="12" t="n">
        <v>5</v>
      </c>
      <c r="BF95" s="12" t="n">
        <v>3</v>
      </c>
      <c r="BG95" s="12" t="n">
        <v>3</v>
      </c>
      <c r="BH95" s="12" t="n">
        <v>5</v>
      </c>
      <c r="BI95" s="12" t="n">
        <v>1</v>
      </c>
      <c r="BJ95" s="12" t="n">
        <v>5</v>
      </c>
      <c r="BK95" s="12" t="n">
        <v>3</v>
      </c>
      <c r="BL95" s="12" t="n">
        <v>3</v>
      </c>
      <c r="BM95" s="12" t="n">
        <v>1</v>
      </c>
      <c r="BN95" s="12" t="n">
        <v>1</v>
      </c>
      <c r="BO95" s="12" t="n">
        <v>2</v>
      </c>
      <c r="BP95" s="12" t="n">
        <v>4</v>
      </c>
      <c r="BQ95" s="12" t="n">
        <v>3</v>
      </c>
      <c r="BR95" s="12" t="n">
        <v>6</v>
      </c>
      <c r="BS95" s="12" t="n">
        <v>5</v>
      </c>
      <c r="BT95" s="12" t="s">
        <v>961</v>
      </c>
      <c r="BU95" s="12" t="s">
        <v>828</v>
      </c>
      <c r="BV95" s="12"/>
      <c r="BW95" s="16" t="n">
        <f aca="false">IF($R95="","",INDEX(Codes!$E$2:$E$108,MATCH("B1|"&amp;$R95,Codes!$A$2:$A$108,0)))</f>
        <v>3</v>
      </c>
      <c r="BX95" s="16" t="n">
        <f aca="false">IF($Y95="","",INDEX(Codes!$E$2:$E$108,MATCH("B4|"&amp;$Y95,Codes!$A$2:$A$108,0)))</f>
        <v>2</v>
      </c>
      <c r="BY95" s="16" t="n">
        <f aca="false">IF($I95="","",INDEX(Codes!$E$2:$E$108,MATCH("A7|"&amp;$I95,Codes!$A$2:$A$108,0)))</f>
        <v>1</v>
      </c>
      <c r="BZ95" s="16" t="n">
        <f aca="false">IF($AU95="","",INDEX(Codes!$E$2:$E$108,MATCH("B8|"&amp;$AU95,Codes!$A$2:$A$108,0)))</f>
        <v>1</v>
      </c>
      <c r="CA95" s="16" t="n">
        <f aca="false">IF($H95="","",INDEX(Codes!$E$2:$E$108,MATCH("A6|"&amp;$H95,Codes!$A$2:$A$108,0)))</f>
        <v>3</v>
      </c>
      <c r="CB95" s="16" t="n">
        <f aca="false">IF($X95="","",IF($X95="phone",1,0))</f>
        <v>0</v>
      </c>
      <c r="CC95" s="16" t="n">
        <f aca="false">IF($BC95="","",8-$BC95)</f>
        <v>5</v>
      </c>
      <c r="CD95" s="12" t="s">
        <v>631</v>
      </c>
      <c r="CE95" s="12" t="n">
        <v>1.623</v>
      </c>
      <c r="CF95" s="12" t="n">
        <v>-2.327</v>
      </c>
    </row>
    <row r="96" customFormat="false" ht="15" hidden="false" customHeight="false" outlineLevel="0" collapsed="false">
      <c r="A96" s="12" t="s">
        <v>962</v>
      </c>
      <c r="B96" s="12" t="s">
        <v>963</v>
      </c>
      <c r="C96" s="12" t="s">
        <v>277</v>
      </c>
      <c r="D96" s="12" t="s">
        <v>293</v>
      </c>
      <c r="E96" s="12" t="s">
        <v>305</v>
      </c>
      <c r="F96" s="12" t="s">
        <v>315</v>
      </c>
      <c r="G96" s="12" t="s">
        <v>336</v>
      </c>
      <c r="H96" s="12" t="s">
        <v>343</v>
      </c>
      <c r="I96" s="12" t="s">
        <v>356</v>
      </c>
      <c r="J96" s="12" t="n">
        <v>1</v>
      </c>
      <c r="K96" s="12" t="n">
        <v>0</v>
      </c>
      <c r="L96" s="12" t="n">
        <v>0</v>
      </c>
      <c r="M96" s="12" t="n">
        <v>0</v>
      </c>
      <c r="N96" s="12" t="n">
        <v>0</v>
      </c>
      <c r="O96" s="12" t="n">
        <v>0</v>
      </c>
      <c r="P96" s="12" t="n">
        <v>0</v>
      </c>
      <c r="Q96" s="12" t="n">
        <v>6</v>
      </c>
      <c r="R96" s="12" t="s">
        <v>401</v>
      </c>
      <c r="S96" s="12" t="n">
        <v>1</v>
      </c>
      <c r="T96" s="12" t="n">
        <v>0</v>
      </c>
      <c r="U96" s="12" t="n">
        <v>1</v>
      </c>
      <c r="V96" s="12" t="n">
        <v>1</v>
      </c>
      <c r="W96" s="12" t="n">
        <v>0</v>
      </c>
      <c r="X96" s="12" t="s">
        <v>407</v>
      </c>
      <c r="Y96" s="12" t="s">
        <v>434</v>
      </c>
      <c r="Z96" s="12" t="n">
        <v>0</v>
      </c>
      <c r="AA96" s="12" t="n">
        <v>0</v>
      </c>
      <c r="AB96" s="12" t="n">
        <v>1</v>
      </c>
      <c r="AC96" s="12" t="n">
        <v>1</v>
      </c>
      <c r="AD96" s="12" t="n">
        <v>1</v>
      </c>
      <c r="AE96" s="12" t="n">
        <v>0</v>
      </c>
      <c r="AF96" s="12" t="n">
        <v>0</v>
      </c>
      <c r="AG96" s="12" t="n">
        <v>0</v>
      </c>
      <c r="AH96" s="12" t="n">
        <v>1</v>
      </c>
      <c r="AI96" s="12" t="n">
        <v>1</v>
      </c>
      <c r="AJ96" s="12" t="n">
        <v>0</v>
      </c>
      <c r="AK96" s="12" t="n">
        <v>0</v>
      </c>
      <c r="AL96" s="12" t="n">
        <v>1</v>
      </c>
      <c r="AM96" s="12" t="n">
        <v>1</v>
      </c>
      <c r="AN96" s="12" t="n">
        <v>1</v>
      </c>
      <c r="AO96" s="12" t="n">
        <v>1</v>
      </c>
      <c r="AP96" s="12" t="n">
        <v>0</v>
      </c>
      <c r="AQ96" s="12" t="n">
        <v>1</v>
      </c>
      <c r="AR96" s="12" t="n">
        <v>1</v>
      </c>
      <c r="AS96" s="12" t="n">
        <v>0</v>
      </c>
      <c r="AT96" s="12" t="s">
        <v>480</v>
      </c>
      <c r="AU96" s="12" t="s">
        <v>395</v>
      </c>
      <c r="AV96" s="12" t="n">
        <v>0</v>
      </c>
      <c r="AW96" s="12" t="n">
        <v>1</v>
      </c>
      <c r="AX96" s="12" t="n">
        <v>1</v>
      </c>
      <c r="AY96" s="12" t="n">
        <v>0</v>
      </c>
      <c r="AZ96" s="12" t="n">
        <v>1</v>
      </c>
      <c r="BA96" s="12" t="n">
        <v>0</v>
      </c>
      <c r="BB96" s="12" t="n">
        <v>3</v>
      </c>
      <c r="BC96" s="12" t="n">
        <v>7</v>
      </c>
      <c r="BD96" s="12" t="n">
        <v>3</v>
      </c>
      <c r="BE96" s="12" t="n">
        <v>6</v>
      </c>
      <c r="BF96" s="12" t="n">
        <v>2</v>
      </c>
      <c r="BG96" s="12" t="n">
        <v>3</v>
      </c>
      <c r="BH96" s="12" t="n">
        <v>4</v>
      </c>
      <c r="BI96" s="12" t="n">
        <v>6</v>
      </c>
      <c r="BJ96" s="12" t="n">
        <v>4</v>
      </c>
      <c r="BK96" s="12" t="n">
        <v>3</v>
      </c>
      <c r="BL96" s="12" t="n">
        <v>5</v>
      </c>
      <c r="BM96" s="12" t="n">
        <v>3</v>
      </c>
      <c r="BN96" s="12" t="n">
        <v>1</v>
      </c>
      <c r="BO96" s="12" t="n">
        <v>3</v>
      </c>
      <c r="BP96" s="12" t="n">
        <v>4</v>
      </c>
      <c r="BQ96" s="12" t="n">
        <v>6</v>
      </c>
      <c r="BR96" s="12" t="n">
        <v>2</v>
      </c>
      <c r="BS96" s="12" t="n">
        <v>5</v>
      </c>
      <c r="BT96" s="12" t="s">
        <v>964</v>
      </c>
      <c r="BU96" s="12" t="s">
        <v>965</v>
      </c>
      <c r="BV96" s="12"/>
      <c r="BW96" s="16" t="n">
        <f aca="false">IF($R96="","",INDEX(Codes!$E$2:$E$108,MATCH("B1|"&amp;$R96,Codes!$A$2:$A$108,0)))</f>
        <v>5</v>
      </c>
      <c r="BX96" s="16" t="n">
        <f aca="false">IF($Y96="","",INDEX(Codes!$E$2:$E$108,MATCH("B4|"&amp;$Y96,Codes!$A$2:$A$108,0)))</f>
        <v>3</v>
      </c>
      <c r="BY96" s="16" t="n">
        <f aca="false">IF($I96="","",INDEX(Codes!$E$2:$E$108,MATCH("A7|"&amp;$I96,Codes!$A$2:$A$108,0)))</f>
        <v>0</v>
      </c>
      <c r="BZ96" s="16" t="n">
        <f aca="false">IF($AU96="","",INDEX(Codes!$E$2:$E$108,MATCH("B8|"&amp;$AU96,Codes!$A$2:$A$108,0)))</f>
        <v>2</v>
      </c>
      <c r="CA96" s="16" t="n">
        <f aca="false">IF($H96="","",INDEX(Codes!$E$2:$E$108,MATCH("A6|"&amp;$H96,Codes!$A$2:$A$108,0)))</f>
        <v>1</v>
      </c>
      <c r="CB96" s="16" t="n">
        <f aca="false">IF($X96="","",IF($X96="phone",1,0))</f>
        <v>0</v>
      </c>
      <c r="CC96" s="16" t="n">
        <f aca="false">IF($BC96="","",8-$BC96)</f>
        <v>1</v>
      </c>
      <c r="CD96" s="12" t="s">
        <v>620</v>
      </c>
      <c r="CE96" s="12" t="n">
        <v>1.068</v>
      </c>
      <c r="CF96" s="12" t="n">
        <v>1.494</v>
      </c>
    </row>
    <row r="97" customFormat="false" ht="15" hidden="false" customHeight="false" outlineLevel="0" collapsed="false">
      <c r="A97" s="12" t="s">
        <v>966</v>
      </c>
      <c r="B97" s="12" t="s">
        <v>967</v>
      </c>
      <c r="C97" s="12" t="s">
        <v>274</v>
      </c>
      <c r="D97" s="12" t="s">
        <v>291</v>
      </c>
      <c r="E97" s="12" t="s">
        <v>305</v>
      </c>
      <c r="F97" s="12" t="s">
        <v>321</v>
      </c>
      <c r="G97" s="12" t="s">
        <v>333</v>
      </c>
      <c r="H97" s="12" t="s">
        <v>345</v>
      </c>
      <c r="I97" s="12" t="s">
        <v>359</v>
      </c>
      <c r="J97" s="12" t="n">
        <v>1</v>
      </c>
      <c r="K97" s="12" t="n">
        <v>0</v>
      </c>
      <c r="L97" s="12" t="n">
        <v>0</v>
      </c>
      <c r="M97" s="12" t="n">
        <v>0</v>
      </c>
      <c r="N97" s="12" t="n">
        <v>0</v>
      </c>
      <c r="O97" s="12" t="n">
        <v>0</v>
      </c>
      <c r="P97" s="12" t="n">
        <v>0</v>
      </c>
      <c r="Q97" s="12" t="n">
        <v>6</v>
      </c>
      <c r="R97" s="12" t="s">
        <v>401</v>
      </c>
      <c r="S97" s="12" t="n">
        <v>1</v>
      </c>
      <c r="T97" s="12" t="n">
        <v>0</v>
      </c>
      <c r="U97" s="12" t="n">
        <v>1</v>
      </c>
      <c r="V97" s="12" t="n">
        <v>1</v>
      </c>
      <c r="W97" s="12" t="n">
        <v>0</v>
      </c>
      <c r="X97" s="12" t="s">
        <v>407</v>
      </c>
      <c r="Y97" s="12" t="s">
        <v>437</v>
      </c>
      <c r="Z97" s="12" t="n">
        <v>0</v>
      </c>
      <c r="AA97" s="12" t="n">
        <v>1</v>
      </c>
      <c r="AB97" s="12" t="n">
        <v>1</v>
      </c>
      <c r="AC97" s="12" t="n">
        <v>1</v>
      </c>
      <c r="AD97" s="12" t="n">
        <v>0</v>
      </c>
      <c r="AE97" s="12" t="n">
        <v>0</v>
      </c>
      <c r="AF97" s="12" t="n">
        <v>1</v>
      </c>
      <c r="AG97" s="12" t="n">
        <v>1</v>
      </c>
      <c r="AH97" s="12" t="n">
        <v>1</v>
      </c>
      <c r="AI97" s="12" t="n">
        <v>0</v>
      </c>
      <c r="AJ97" s="12" t="n">
        <v>0</v>
      </c>
      <c r="AK97" s="12" t="n">
        <v>0</v>
      </c>
      <c r="AL97" s="12" t="n">
        <v>0</v>
      </c>
      <c r="AM97" s="12" t="n">
        <v>0</v>
      </c>
      <c r="AN97" s="12" t="n">
        <v>0</v>
      </c>
      <c r="AO97" s="12" t="n">
        <v>0</v>
      </c>
      <c r="AP97" s="12" t="n">
        <v>0</v>
      </c>
      <c r="AQ97" s="12" t="n">
        <v>1</v>
      </c>
      <c r="AR97" s="12" t="n">
        <v>1</v>
      </c>
      <c r="AS97" s="12" t="n">
        <v>0</v>
      </c>
      <c r="AT97" s="12" t="s">
        <v>504</v>
      </c>
      <c r="AU97" s="12" t="s">
        <v>343</v>
      </c>
      <c r="AV97" s="12" t="n">
        <v>0</v>
      </c>
      <c r="AW97" s="12" t="n">
        <v>1</v>
      </c>
      <c r="AX97" s="12" t="n">
        <v>1</v>
      </c>
      <c r="AY97" s="12" t="n">
        <v>1</v>
      </c>
      <c r="AZ97" s="12" t="n">
        <v>1</v>
      </c>
      <c r="BA97" s="12" t="n">
        <v>0</v>
      </c>
      <c r="BB97" s="12" t="n">
        <v>3</v>
      </c>
      <c r="BC97" s="12" t="n">
        <v>4</v>
      </c>
      <c r="BD97" s="12" t="n">
        <v>4</v>
      </c>
      <c r="BE97" s="12" t="n">
        <v>4</v>
      </c>
      <c r="BF97" s="12" t="n">
        <v>3</v>
      </c>
      <c r="BG97" s="12" t="n">
        <v>1</v>
      </c>
      <c r="BH97" s="12" t="n">
        <v>4</v>
      </c>
      <c r="BI97" s="12" t="n">
        <v>6</v>
      </c>
      <c r="BJ97" s="12" t="n">
        <v>6</v>
      </c>
      <c r="BK97" s="12" t="n">
        <v>2</v>
      </c>
      <c r="BL97" s="12" t="n">
        <v>5</v>
      </c>
      <c r="BM97" s="12" t="n">
        <v>5</v>
      </c>
      <c r="BN97" s="12" t="n">
        <v>2</v>
      </c>
      <c r="BO97" s="12" t="n">
        <v>3</v>
      </c>
      <c r="BP97" s="12" t="n">
        <v>4</v>
      </c>
      <c r="BQ97" s="12" t="n">
        <v>6</v>
      </c>
      <c r="BR97" s="12" t="n">
        <v>1</v>
      </c>
      <c r="BS97" s="12" t="n">
        <v>5</v>
      </c>
      <c r="BT97" s="12" t="s">
        <v>968</v>
      </c>
      <c r="BU97" s="12"/>
      <c r="BV97" s="12"/>
      <c r="BW97" s="16" t="n">
        <f aca="false">IF($R97="","",INDEX(Codes!$E$2:$E$108,MATCH("B1|"&amp;$R97,Codes!$A$2:$A$108,0)))</f>
        <v>5</v>
      </c>
      <c r="BX97" s="16" t="n">
        <f aca="false">IF($Y97="","",INDEX(Codes!$E$2:$E$108,MATCH("B4|"&amp;$Y97,Codes!$A$2:$A$108,0)))</f>
        <v>4</v>
      </c>
      <c r="BY97" s="16" t="n">
        <f aca="false">IF($I97="","",INDEX(Codes!$E$2:$E$108,MATCH("A7|"&amp;$I97,Codes!$A$2:$A$108,0)))</f>
        <v>1</v>
      </c>
      <c r="BZ97" s="16" t="n">
        <f aca="false">IF($AU97="","",INDEX(Codes!$E$2:$E$108,MATCH("B8|"&amp;$AU97,Codes!$A$2:$A$108,0)))</f>
        <v>1</v>
      </c>
      <c r="CA97" s="16" t="n">
        <f aca="false">IF($H97="","",INDEX(Codes!$E$2:$E$108,MATCH("A6|"&amp;$H97,Codes!$A$2:$A$108,0)))</f>
        <v>2</v>
      </c>
      <c r="CB97" s="16" t="n">
        <f aca="false">IF($X97="","",IF($X97="phone",1,0))</f>
        <v>0</v>
      </c>
      <c r="CC97" s="16" t="n">
        <f aca="false">IF($BC97="","",8-$BC97)</f>
        <v>4</v>
      </c>
      <c r="CD97" s="12" t="s">
        <v>620</v>
      </c>
      <c r="CE97" s="12" t="n">
        <v>0.428</v>
      </c>
      <c r="CF97" s="12" t="n">
        <v>2.539</v>
      </c>
    </row>
    <row r="98" customFormat="false" ht="15" hidden="false" customHeight="false" outlineLevel="0" collapsed="false">
      <c r="A98" s="12" t="s">
        <v>969</v>
      </c>
      <c r="B98" s="12" t="s">
        <v>970</v>
      </c>
      <c r="C98" s="12" t="s">
        <v>280</v>
      </c>
      <c r="D98" s="12" t="s">
        <v>299</v>
      </c>
      <c r="E98" s="12" t="s">
        <v>305</v>
      </c>
      <c r="F98" s="12" t="s">
        <v>321</v>
      </c>
      <c r="G98" s="12" t="s">
        <v>333</v>
      </c>
      <c r="H98" s="12" t="s">
        <v>347</v>
      </c>
      <c r="I98" s="12" t="s">
        <v>359</v>
      </c>
      <c r="J98" s="12" t="n">
        <v>0</v>
      </c>
      <c r="K98" s="12" t="n">
        <v>0</v>
      </c>
      <c r="L98" s="12" t="n">
        <v>0</v>
      </c>
      <c r="M98" s="12" t="n">
        <v>0</v>
      </c>
      <c r="N98" s="12" t="n">
        <v>0</v>
      </c>
      <c r="O98" s="12" t="n">
        <v>1</v>
      </c>
      <c r="P98" s="12" t="n">
        <v>0</v>
      </c>
      <c r="Q98" s="12" t="n">
        <v>2</v>
      </c>
      <c r="R98" s="12" t="s">
        <v>395</v>
      </c>
      <c r="S98" s="12" t="n">
        <v>0</v>
      </c>
      <c r="T98" s="12" t="n">
        <v>1</v>
      </c>
      <c r="U98" s="12" t="n">
        <v>0</v>
      </c>
      <c r="V98" s="12" t="n">
        <v>0</v>
      </c>
      <c r="W98" s="12" t="n">
        <v>0</v>
      </c>
      <c r="X98" s="12" t="s">
        <v>407</v>
      </c>
      <c r="Y98" s="12" t="s">
        <v>434</v>
      </c>
      <c r="Z98" s="12" t="n">
        <v>1</v>
      </c>
      <c r="AA98" s="12" t="n">
        <v>1</v>
      </c>
      <c r="AB98" s="12" t="n">
        <v>0</v>
      </c>
      <c r="AC98" s="12" t="n">
        <v>1</v>
      </c>
      <c r="AD98" s="12" t="n">
        <v>0</v>
      </c>
      <c r="AE98" s="12" t="n">
        <v>1</v>
      </c>
      <c r="AF98" s="12" t="n">
        <v>0</v>
      </c>
      <c r="AG98" s="12" t="n">
        <v>0</v>
      </c>
      <c r="AH98" s="12" t="n">
        <v>0</v>
      </c>
      <c r="AI98" s="12" t="n">
        <v>1</v>
      </c>
      <c r="AJ98" s="12" t="n">
        <v>0</v>
      </c>
      <c r="AK98" s="12" t="n">
        <v>0</v>
      </c>
      <c r="AL98" s="12" t="n">
        <v>0</v>
      </c>
      <c r="AM98" s="12" t="n">
        <v>1</v>
      </c>
      <c r="AN98" s="12" t="n">
        <v>0</v>
      </c>
      <c r="AO98" s="12" t="n">
        <v>0</v>
      </c>
      <c r="AP98" s="12" t="n">
        <v>0</v>
      </c>
      <c r="AQ98" s="12" t="n">
        <v>1</v>
      </c>
      <c r="AR98" s="12" t="n">
        <v>0</v>
      </c>
      <c r="AS98" s="12" t="n">
        <v>0</v>
      </c>
      <c r="AT98" s="12" t="s">
        <v>480</v>
      </c>
      <c r="AU98" s="12" t="s">
        <v>395</v>
      </c>
      <c r="AV98" s="12" t="n">
        <v>0</v>
      </c>
      <c r="AW98" s="12" t="n">
        <v>1</v>
      </c>
      <c r="AX98" s="12" t="n">
        <v>0</v>
      </c>
      <c r="AY98" s="12" t="n">
        <v>0</v>
      </c>
      <c r="AZ98" s="12" t="n">
        <v>1</v>
      </c>
      <c r="BA98" s="12" t="n">
        <v>0</v>
      </c>
      <c r="BB98" s="12" t="n">
        <v>4</v>
      </c>
      <c r="BC98" s="12" t="n">
        <v>3</v>
      </c>
      <c r="BD98" s="12" t="n">
        <v>3</v>
      </c>
      <c r="BE98" s="12" t="n">
        <v>5</v>
      </c>
      <c r="BF98" s="12" t="n">
        <v>4</v>
      </c>
      <c r="BG98" s="12" t="n">
        <v>1</v>
      </c>
      <c r="BH98" s="12" t="n">
        <v>4</v>
      </c>
      <c r="BI98" s="12" t="n">
        <v>3</v>
      </c>
      <c r="BJ98" s="12" t="n">
        <v>4</v>
      </c>
      <c r="BK98" s="12" t="n">
        <v>4</v>
      </c>
      <c r="BL98" s="12" t="n">
        <v>3</v>
      </c>
      <c r="BM98" s="12" t="n">
        <v>1</v>
      </c>
      <c r="BN98" s="12" t="n">
        <v>1</v>
      </c>
      <c r="BO98" s="12" t="n">
        <v>3</v>
      </c>
      <c r="BP98" s="12" t="n">
        <v>4</v>
      </c>
      <c r="BQ98" s="12" t="n">
        <v>2</v>
      </c>
      <c r="BR98" s="12" t="n">
        <v>5</v>
      </c>
      <c r="BS98" s="12" t="n">
        <v>6</v>
      </c>
      <c r="BT98" s="12" t="s">
        <v>971</v>
      </c>
      <c r="BU98" s="12" t="s">
        <v>894</v>
      </c>
      <c r="BV98" s="12"/>
      <c r="BW98" s="16" t="n">
        <f aca="false">IF($R98="","",INDEX(Codes!$E$2:$E$108,MATCH("B1|"&amp;$R98,Codes!$A$2:$A$108,0)))</f>
        <v>3</v>
      </c>
      <c r="BX98" s="16" t="n">
        <f aca="false">IF($Y98="","",INDEX(Codes!$E$2:$E$108,MATCH("B4|"&amp;$Y98,Codes!$A$2:$A$108,0)))</f>
        <v>3</v>
      </c>
      <c r="BY98" s="16" t="n">
        <f aca="false">IF($I98="","",INDEX(Codes!$E$2:$E$108,MATCH("A7|"&amp;$I98,Codes!$A$2:$A$108,0)))</f>
        <v>1</v>
      </c>
      <c r="BZ98" s="16" t="n">
        <f aca="false">IF($AU98="","",INDEX(Codes!$E$2:$E$108,MATCH("B8|"&amp;$AU98,Codes!$A$2:$A$108,0)))</f>
        <v>2</v>
      </c>
      <c r="CA98" s="16" t="n">
        <f aca="false">IF($H98="","",INDEX(Codes!$E$2:$E$108,MATCH("A6|"&amp;$H98,Codes!$A$2:$A$108,0)))</f>
        <v>3</v>
      </c>
      <c r="CB98" s="16" t="n">
        <f aca="false">IF($X98="","",IF($X98="phone",1,0))</f>
        <v>0</v>
      </c>
      <c r="CC98" s="16" t="n">
        <f aca="false">IF($BC98="","",8-$BC98)</f>
        <v>5</v>
      </c>
      <c r="CD98" s="12" t="s">
        <v>631</v>
      </c>
      <c r="CE98" s="12" t="n">
        <v>2.334</v>
      </c>
      <c r="CF98" s="12" t="n">
        <v>-2.059</v>
      </c>
    </row>
    <row r="99" customFormat="false" ht="15" hidden="false" customHeight="false" outlineLevel="0" collapsed="false">
      <c r="A99" s="12" t="s">
        <v>972</v>
      </c>
      <c r="B99" s="12" t="s">
        <v>973</v>
      </c>
      <c r="C99" s="12" t="s">
        <v>274</v>
      </c>
      <c r="D99" s="12" t="s">
        <v>295</v>
      </c>
      <c r="E99" s="12" t="s">
        <v>305</v>
      </c>
      <c r="F99" s="12" t="s">
        <v>321</v>
      </c>
      <c r="G99" s="12" t="s">
        <v>336</v>
      </c>
      <c r="H99" s="12" t="s">
        <v>347</v>
      </c>
      <c r="I99" s="12" t="s">
        <v>359</v>
      </c>
      <c r="J99" s="12" t="n">
        <v>1</v>
      </c>
      <c r="K99" s="12" t="n">
        <v>0</v>
      </c>
      <c r="L99" s="12" t="n">
        <v>0</v>
      </c>
      <c r="M99" s="12" t="n">
        <v>0</v>
      </c>
      <c r="N99" s="12" t="n">
        <v>0</v>
      </c>
      <c r="O99" s="12" t="n">
        <v>0</v>
      </c>
      <c r="P99" s="12" t="n">
        <v>0</v>
      </c>
      <c r="Q99" s="12" t="n">
        <v>6</v>
      </c>
      <c r="R99" s="12" t="s">
        <v>404</v>
      </c>
      <c r="S99" s="12" t="n">
        <v>0</v>
      </c>
      <c r="T99" s="12" t="n">
        <v>1</v>
      </c>
      <c r="U99" s="12" t="n">
        <v>0</v>
      </c>
      <c r="V99" s="12" t="n">
        <v>0</v>
      </c>
      <c r="W99" s="12" t="n">
        <v>0</v>
      </c>
      <c r="X99" s="12" t="s">
        <v>407</v>
      </c>
      <c r="Y99" s="12" t="s">
        <v>434</v>
      </c>
      <c r="Z99" s="12" t="n">
        <v>1</v>
      </c>
      <c r="AA99" s="12" t="n">
        <v>1</v>
      </c>
      <c r="AB99" s="12" t="n">
        <v>1</v>
      </c>
      <c r="AC99" s="12" t="n">
        <v>1</v>
      </c>
      <c r="AD99" s="12" t="n">
        <v>1</v>
      </c>
      <c r="AE99" s="12" t="n">
        <v>1</v>
      </c>
      <c r="AF99" s="12" t="n">
        <v>0</v>
      </c>
      <c r="AG99" s="12" t="n">
        <v>0</v>
      </c>
      <c r="AH99" s="12" t="n">
        <v>1</v>
      </c>
      <c r="AI99" s="12" t="n">
        <v>0</v>
      </c>
      <c r="AJ99" s="12" t="n">
        <v>1</v>
      </c>
      <c r="AK99" s="12" t="n">
        <v>0</v>
      </c>
      <c r="AL99" s="12" t="n">
        <v>0</v>
      </c>
      <c r="AM99" s="12" t="n">
        <v>0</v>
      </c>
      <c r="AN99" s="12" t="n">
        <v>0</v>
      </c>
      <c r="AO99" s="12" t="n">
        <v>0</v>
      </c>
      <c r="AP99" s="12" t="n">
        <v>0</v>
      </c>
      <c r="AQ99" s="12" t="n">
        <v>0</v>
      </c>
      <c r="AR99" s="12" t="n">
        <v>1</v>
      </c>
      <c r="AS99" s="12" t="n">
        <v>0</v>
      </c>
      <c r="AT99" s="12" t="s">
        <v>480</v>
      </c>
      <c r="AU99" s="12" t="s">
        <v>343</v>
      </c>
      <c r="AV99" s="12" t="n">
        <v>1</v>
      </c>
      <c r="AW99" s="12" t="n">
        <v>1</v>
      </c>
      <c r="AX99" s="12" t="n">
        <v>0</v>
      </c>
      <c r="AY99" s="12" t="n">
        <v>1</v>
      </c>
      <c r="AZ99" s="12" t="n">
        <v>0</v>
      </c>
      <c r="BA99" s="12" t="n">
        <v>0</v>
      </c>
      <c r="BB99" s="12" t="n">
        <v>4</v>
      </c>
      <c r="BC99" s="12" t="n">
        <v>3</v>
      </c>
      <c r="BD99" s="12" t="n">
        <v>4</v>
      </c>
      <c r="BE99" s="12" t="n">
        <v>7</v>
      </c>
      <c r="BF99" s="12" t="n">
        <v>3</v>
      </c>
      <c r="BG99" s="12" t="n">
        <v>1</v>
      </c>
      <c r="BH99" s="12" t="n">
        <v>7</v>
      </c>
      <c r="BI99" s="12" t="n">
        <v>4</v>
      </c>
      <c r="BJ99" s="12" t="n">
        <v>7</v>
      </c>
      <c r="BK99" s="12" t="n">
        <v>3</v>
      </c>
      <c r="BL99" s="12" t="n">
        <v>3</v>
      </c>
      <c r="BM99" s="12" t="n">
        <v>3</v>
      </c>
      <c r="BN99" s="12" t="n">
        <v>1</v>
      </c>
      <c r="BO99" s="12" t="n">
        <v>3</v>
      </c>
      <c r="BP99" s="12" t="n">
        <v>4</v>
      </c>
      <c r="BQ99" s="12" t="n">
        <v>5</v>
      </c>
      <c r="BR99" s="12" t="n">
        <v>2</v>
      </c>
      <c r="BS99" s="12" t="n">
        <v>6</v>
      </c>
      <c r="BT99" s="12" t="s">
        <v>700</v>
      </c>
      <c r="BU99" s="12" t="s">
        <v>709</v>
      </c>
      <c r="BV99" s="12"/>
      <c r="BW99" s="16" t="n">
        <f aca="false">IF($R99="","",INDEX(Codes!$E$2:$E$108,MATCH("B1|"&amp;$R99,Codes!$A$2:$A$108,0)))</f>
        <v>6</v>
      </c>
      <c r="BX99" s="16" t="n">
        <f aca="false">IF($Y99="","",INDEX(Codes!$E$2:$E$108,MATCH("B4|"&amp;$Y99,Codes!$A$2:$A$108,0)))</f>
        <v>3</v>
      </c>
      <c r="BY99" s="16" t="n">
        <f aca="false">IF($I99="","",INDEX(Codes!$E$2:$E$108,MATCH("A7|"&amp;$I99,Codes!$A$2:$A$108,0)))</f>
        <v>1</v>
      </c>
      <c r="BZ99" s="16" t="n">
        <f aca="false">IF($AU99="","",INDEX(Codes!$E$2:$E$108,MATCH("B8|"&amp;$AU99,Codes!$A$2:$A$108,0)))</f>
        <v>1</v>
      </c>
      <c r="CA99" s="16" t="n">
        <f aca="false">IF($H99="","",INDEX(Codes!$E$2:$E$108,MATCH("A6|"&amp;$H99,Codes!$A$2:$A$108,0)))</f>
        <v>3</v>
      </c>
      <c r="CB99" s="16" t="n">
        <f aca="false">IF($X99="","",IF($X99="phone",1,0))</f>
        <v>0</v>
      </c>
      <c r="CC99" s="16" t="n">
        <f aca="false">IF($BC99="","",8-$BC99)</f>
        <v>5</v>
      </c>
      <c r="CD99" s="12" t="s">
        <v>620</v>
      </c>
      <c r="CE99" s="12" t="n">
        <v>0.396</v>
      </c>
      <c r="CF99" s="12" t="n">
        <v>1.701</v>
      </c>
    </row>
    <row r="100" customFormat="false" ht="15" hidden="false" customHeight="false" outlineLevel="0" collapsed="false">
      <c r="A100" s="12" t="s">
        <v>974</v>
      </c>
      <c r="B100" s="12" t="s">
        <v>975</v>
      </c>
      <c r="C100" s="12" t="s">
        <v>271</v>
      </c>
      <c r="D100" s="12" t="s">
        <v>291</v>
      </c>
      <c r="E100" s="12" t="s">
        <v>305</v>
      </c>
      <c r="F100" s="12" t="s">
        <v>315</v>
      </c>
      <c r="G100" s="12" t="s">
        <v>333</v>
      </c>
      <c r="H100" s="12" t="s">
        <v>349</v>
      </c>
      <c r="I100" s="12" t="s">
        <v>356</v>
      </c>
      <c r="J100" s="12" t="n">
        <v>0</v>
      </c>
      <c r="K100" s="12" t="n">
        <v>0</v>
      </c>
      <c r="L100" s="12" t="n">
        <v>0</v>
      </c>
      <c r="M100" s="12" t="n">
        <v>1</v>
      </c>
      <c r="N100" s="12" t="n">
        <v>0</v>
      </c>
      <c r="O100" s="12" t="n">
        <v>0</v>
      </c>
      <c r="P100" s="12" t="n">
        <v>0</v>
      </c>
      <c r="Q100" s="12" t="n">
        <v>6</v>
      </c>
      <c r="R100" s="12" t="s">
        <v>401</v>
      </c>
      <c r="S100" s="12" t="n">
        <v>1</v>
      </c>
      <c r="T100" s="12" t="n">
        <v>0</v>
      </c>
      <c r="U100" s="12" t="n">
        <v>1</v>
      </c>
      <c r="V100" s="12" t="n">
        <v>1</v>
      </c>
      <c r="W100" s="12" t="n">
        <v>0</v>
      </c>
      <c r="X100" s="12" t="s">
        <v>407</v>
      </c>
      <c r="Y100" s="12" t="s">
        <v>437</v>
      </c>
      <c r="Z100" s="12" t="n">
        <v>1</v>
      </c>
      <c r="AA100" s="12" t="n">
        <v>1</v>
      </c>
      <c r="AB100" s="12" t="n">
        <v>1</v>
      </c>
      <c r="AC100" s="12" t="n">
        <v>1</v>
      </c>
      <c r="AD100" s="12" t="n">
        <v>1</v>
      </c>
      <c r="AE100" s="12" t="n">
        <v>0</v>
      </c>
      <c r="AF100" s="12" t="n">
        <v>1</v>
      </c>
      <c r="AG100" s="12" t="n">
        <v>0</v>
      </c>
      <c r="AH100" s="12" t="n">
        <v>1</v>
      </c>
      <c r="AI100" s="12" t="n">
        <v>0</v>
      </c>
      <c r="AJ100" s="12" t="n">
        <v>0</v>
      </c>
      <c r="AK100" s="12" t="n">
        <v>0</v>
      </c>
      <c r="AL100" s="12" t="n">
        <v>1</v>
      </c>
      <c r="AM100" s="12" t="n">
        <v>0</v>
      </c>
      <c r="AN100" s="12" t="n">
        <v>1</v>
      </c>
      <c r="AO100" s="12" t="n">
        <v>0</v>
      </c>
      <c r="AP100" s="12" t="n">
        <v>1</v>
      </c>
      <c r="AQ100" s="12" t="n">
        <v>0</v>
      </c>
      <c r="AR100" s="12" t="n">
        <v>1</v>
      </c>
      <c r="AS100" s="12" t="n">
        <v>1</v>
      </c>
      <c r="AT100" s="12" t="s">
        <v>480</v>
      </c>
      <c r="AU100" s="12" t="s">
        <v>395</v>
      </c>
      <c r="AV100" s="12" t="n">
        <v>0</v>
      </c>
      <c r="AW100" s="12" t="n">
        <v>0</v>
      </c>
      <c r="AX100" s="12" t="n">
        <v>1</v>
      </c>
      <c r="AY100" s="12" t="n">
        <v>1</v>
      </c>
      <c r="AZ100" s="12" t="n">
        <v>1</v>
      </c>
      <c r="BA100" s="12" t="n">
        <v>0</v>
      </c>
      <c r="BB100" s="12" t="n">
        <v>4</v>
      </c>
      <c r="BC100" s="12" t="n">
        <v>4</v>
      </c>
      <c r="BD100" s="12" t="n">
        <v>5</v>
      </c>
      <c r="BE100" s="12" t="n">
        <v>6</v>
      </c>
      <c r="BF100" s="12" t="n">
        <v>3</v>
      </c>
      <c r="BG100" s="12" t="n">
        <v>3</v>
      </c>
      <c r="BH100" s="12" t="n">
        <v>6</v>
      </c>
      <c r="BI100" s="12" t="n">
        <v>4</v>
      </c>
      <c r="BJ100" s="12" t="n">
        <v>3</v>
      </c>
      <c r="BK100" s="12" t="n">
        <v>5</v>
      </c>
      <c r="BL100" s="12" t="n">
        <v>4</v>
      </c>
      <c r="BM100" s="12" t="n">
        <v>3</v>
      </c>
      <c r="BN100" s="12" t="n">
        <v>2</v>
      </c>
      <c r="BO100" s="12" t="n">
        <v>3</v>
      </c>
      <c r="BP100" s="12" t="n">
        <v>4</v>
      </c>
      <c r="BQ100" s="12" t="n">
        <v>5</v>
      </c>
      <c r="BR100" s="12" t="n">
        <v>1</v>
      </c>
      <c r="BS100" s="12" t="n">
        <v>6</v>
      </c>
      <c r="BT100" s="12" t="s">
        <v>976</v>
      </c>
      <c r="BU100" s="12" t="s">
        <v>977</v>
      </c>
      <c r="BV100" s="12"/>
      <c r="BW100" s="16" t="n">
        <f aca="false">IF($R100="","",INDEX(Codes!$E$2:$E$108,MATCH("B1|"&amp;$R100,Codes!$A$2:$A$108,0)))</f>
        <v>5</v>
      </c>
      <c r="BX100" s="16" t="n">
        <f aca="false">IF($Y100="","",INDEX(Codes!$E$2:$E$108,MATCH("B4|"&amp;$Y100,Codes!$A$2:$A$108,0)))</f>
        <v>4</v>
      </c>
      <c r="BY100" s="16" t="n">
        <f aca="false">IF($I100="","",INDEX(Codes!$E$2:$E$108,MATCH("A7|"&amp;$I100,Codes!$A$2:$A$108,0)))</f>
        <v>0</v>
      </c>
      <c r="BZ100" s="16" t="n">
        <f aca="false">IF($AU100="","",INDEX(Codes!$E$2:$E$108,MATCH("B8|"&amp;$AU100,Codes!$A$2:$A$108,0)))</f>
        <v>2</v>
      </c>
      <c r="CA100" s="16" t="n">
        <f aca="false">IF($H100="","",INDEX(Codes!$E$2:$E$108,MATCH("A6|"&amp;$H100,Codes!$A$2:$A$108,0)))</f>
        <v>4</v>
      </c>
      <c r="CB100" s="16" t="n">
        <f aca="false">IF($X100="","",IF($X100="phone",1,0))</f>
        <v>0</v>
      </c>
      <c r="CC100" s="16" t="n">
        <f aca="false">IF($BC100="","",8-$BC100)</f>
        <v>4</v>
      </c>
      <c r="CD100" s="12" t="s">
        <v>620</v>
      </c>
      <c r="CE100" s="12" t="n">
        <v>0.869</v>
      </c>
      <c r="CF100" s="12" t="n">
        <v>1.268</v>
      </c>
    </row>
    <row r="101" customFormat="false" ht="15" hidden="false" customHeight="false" outlineLevel="0" collapsed="false">
      <c r="A101" s="12" t="s">
        <v>978</v>
      </c>
      <c r="B101" s="12" t="s">
        <v>979</v>
      </c>
      <c r="C101" s="12" t="s">
        <v>274</v>
      </c>
      <c r="D101" s="12" t="s">
        <v>291</v>
      </c>
      <c r="E101" s="12" t="s">
        <v>311</v>
      </c>
      <c r="F101" s="12" t="s">
        <v>315</v>
      </c>
      <c r="G101" s="12" t="s">
        <v>336</v>
      </c>
      <c r="H101" s="12" t="s">
        <v>347</v>
      </c>
      <c r="I101" s="12" t="s">
        <v>368</v>
      </c>
      <c r="J101" s="12" t="n">
        <v>1</v>
      </c>
      <c r="K101" s="12" t="n">
        <v>0</v>
      </c>
      <c r="L101" s="12" t="n">
        <v>0</v>
      </c>
      <c r="M101" s="12" t="n">
        <v>0</v>
      </c>
      <c r="N101" s="12" t="n">
        <v>0</v>
      </c>
      <c r="O101" s="12" t="n">
        <v>0</v>
      </c>
      <c r="P101" s="12" t="n">
        <v>0</v>
      </c>
      <c r="Q101" s="12" t="n">
        <v>4</v>
      </c>
      <c r="R101" s="12" t="s">
        <v>395</v>
      </c>
      <c r="S101" s="12" t="n">
        <v>1</v>
      </c>
      <c r="T101" s="12" t="n">
        <v>0</v>
      </c>
      <c r="U101" s="12" t="n">
        <v>1</v>
      </c>
      <c r="V101" s="12" t="n">
        <v>0</v>
      </c>
      <c r="W101" s="12" t="n">
        <v>0</v>
      </c>
      <c r="X101" s="12" t="s">
        <v>407</v>
      </c>
      <c r="Y101" s="12" t="s">
        <v>437</v>
      </c>
      <c r="Z101" s="12" t="n">
        <v>1</v>
      </c>
      <c r="AA101" s="12" t="n">
        <v>1</v>
      </c>
      <c r="AB101" s="12" t="n">
        <v>0</v>
      </c>
      <c r="AC101" s="12" t="n">
        <v>1</v>
      </c>
      <c r="AD101" s="12" t="n">
        <v>0</v>
      </c>
      <c r="AE101" s="12" t="n">
        <v>1</v>
      </c>
      <c r="AF101" s="12" t="n">
        <v>0</v>
      </c>
      <c r="AG101" s="12" t="n">
        <v>0</v>
      </c>
      <c r="AH101" s="12" t="n">
        <v>1</v>
      </c>
      <c r="AI101" s="12" t="n">
        <v>0</v>
      </c>
      <c r="AJ101" s="12" t="n">
        <v>0</v>
      </c>
      <c r="AK101" s="12" t="n">
        <v>0</v>
      </c>
      <c r="AL101" s="12" t="n">
        <v>0</v>
      </c>
      <c r="AM101" s="12" t="n">
        <v>1</v>
      </c>
      <c r="AN101" s="12" t="n">
        <v>0</v>
      </c>
      <c r="AO101" s="12" t="n">
        <v>0</v>
      </c>
      <c r="AP101" s="12" t="n">
        <v>0</v>
      </c>
      <c r="AQ101" s="12" t="n">
        <v>1</v>
      </c>
      <c r="AR101" s="12" t="n">
        <v>1</v>
      </c>
      <c r="AS101" s="12" t="n">
        <v>0</v>
      </c>
      <c r="AT101" s="12" t="s">
        <v>480</v>
      </c>
      <c r="AU101" s="12" t="s">
        <v>398</v>
      </c>
      <c r="AV101" s="12" t="n">
        <v>0</v>
      </c>
      <c r="AW101" s="12" t="n">
        <v>0</v>
      </c>
      <c r="AX101" s="12" t="n">
        <v>0</v>
      </c>
      <c r="AY101" s="12" t="n">
        <v>1</v>
      </c>
      <c r="AZ101" s="12" t="n">
        <v>1</v>
      </c>
      <c r="BA101" s="12" t="n">
        <v>0</v>
      </c>
      <c r="BB101" s="12" t="n">
        <v>3</v>
      </c>
      <c r="BC101" s="12" t="n">
        <v>4</v>
      </c>
      <c r="BD101" s="12" t="n">
        <v>6</v>
      </c>
      <c r="BE101" s="12" t="n">
        <v>5</v>
      </c>
      <c r="BF101" s="12" t="n">
        <v>4</v>
      </c>
      <c r="BG101" s="12" t="n">
        <v>3</v>
      </c>
      <c r="BH101" s="12" t="n">
        <v>4</v>
      </c>
      <c r="BI101" s="12" t="n">
        <v>5</v>
      </c>
      <c r="BJ101" s="12" t="n">
        <v>6</v>
      </c>
      <c r="BK101" s="12" t="n">
        <v>4</v>
      </c>
      <c r="BL101" s="12" t="n">
        <v>3</v>
      </c>
      <c r="BM101" s="12" t="n">
        <v>3</v>
      </c>
      <c r="BN101" s="12" t="n">
        <v>3</v>
      </c>
      <c r="BO101" s="12" t="n">
        <v>1</v>
      </c>
      <c r="BP101" s="12" t="n">
        <v>4</v>
      </c>
      <c r="BQ101" s="12" t="n">
        <v>5</v>
      </c>
      <c r="BR101" s="12" t="n">
        <v>2</v>
      </c>
      <c r="BS101" s="12" t="n">
        <v>6</v>
      </c>
      <c r="BT101" s="12" t="s">
        <v>980</v>
      </c>
      <c r="BU101" s="12"/>
      <c r="BV101" s="12"/>
      <c r="BW101" s="16" t="n">
        <f aca="false">IF($R101="","",INDEX(Codes!$E$2:$E$108,MATCH("B1|"&amp;$R101,Codes!$A$2:$A$108,0)))</f>
        <v>3</v>
      </c>
      <c r="BX101" s="16" t="n">
        <f aca="false">IF($Y101="","",INDEX(Codes!$E$2:$E$108,MATCH("B4|"&amp;$Y101,Codes!$A$2:$A$108,0)))</f>
        <v>4</v>
      </c>
      <c r="BY101" s="16" t="n">
        <f aca="false">IF($I101="","",INDEX(Codes!$E$2:$E$108,MATCH("A7|"&amp;$I101,Codes!$A$2:$A$108,0)))</f>
        <v>4</v>
      </c>
      <c r="BZ101" s="16" t="n">
        <f aca="false">IF($AU101="","",INDEX(Codes!$E$2:$E$108,MATCH("B8|"&amp;$AU101,Codes!$A$2:$A$108,0)))</f>
        <v>3</v>
      </c>
      <c r="CA101" s="16" t="n">
        <f aca="false">IF($H101="","",INDEX(Codes!$E$2:$E$108,MATCH("A6|"&amp;$H101,Codes!$A$2:$A$108,0)))</f>
        <v>3</v>
      </c>
      <c r="CB101" s="16" t="n">
        <f aca="false">IF($X101="","",IF($X101="phone",1,0))</f>
        <v>0</v>
      </c>
      <c r="CC101" s="16" t="n">
        <f aca="false">IF($BC101="","",8-$BC101)</f>
        <v>4</v>
      </c>
      <c r="CD101" s="12" t="s">
        <v>648</v>
      </c>
      <c r="CE101" s="12" t="n">
        <v>0.86</v>
      </c>
      <c r="CF101" s="12" t="n">
        <v>-1.467</v>
      </c>
    </row>
    <row r="102" customFormat="false" ht="15" hidden="false" customHeight="false" outlineLevel="0" collapsed="false">
      <c r="A102" s="12" t="s">
        <v>981</v>
      </c>
      <c r="B102" s="12" t="s">
        <v>982</v>
      </c>
      <c r="C102" s="12" t="s">
        <v>271</v>
      </c>
      <c r="D102" s="12" t="s">
        <v>291</v>
      </c>
      <c r="E102" s="12" t="s">
        <v>308</v>
      </c>
      <c r="F102" s="12" t="s">
        <v>318</v>
      </c>
      <c r="G102" s="12" t="s">
        <v>333</v>
      </c>
      <c r="H102" s="12" t="s">
        <v>351</v>
      </c>
      <c r="I102" s="12" t="s">
        <v>365</v>
      </c>
      <c r="J102" s="12" t="n">
        <v>1</v>
      </c>
      <c r="K102" s="12" t="n">
        <v>0</v>
      </c>
      <c r="L102" s="12" t="n">
        <v>0</v>
      </c>
      <c r="M102" s="12" t="n">
        <v>0</v>
      </c>
      <c r="N102" s="12" t="n">
        <v>0</v>
      </c>
      <c r="O102" s="12" t="n">
        <v>0</v>
      </c>
      <c r="P102" s="12" t="n">
        <v>0</v>
      </c>
      <c r="Q102" s="12" t="n">
        <v>4</v>
      </c>
      <c r="R102" s="12" t="s">
        <v>404</v>
      </c>
      <c r="S102" s="12" t="n">
        <v>1</v>
      </c>
      <c r="T102" s="12" t="n">
        <v>0</v>
      </c>
      <c r="U102" s="12" t="n">
        <v>0</v>
      </c>
      <c r="V102" s="12" t="n">
        <v>1</v>
      </c>
      <c r="W102" s="12" t="n">
        <v>0</v>
      </c>
      <c r="X102" s="12" t="s">
        <v>407</v>
      </c>
      <c r="Y102" s="12" t="s">
        <v>431</v>
      </c>
      <c r="Z102" s="12" t="n">
        <v>1</v>
      </c>
      <c r="AA102" s="12" t="n">
        <v>1</v>
      </c>
      <c r="AB102" s="12" t="n">
        <v>1</v>
      </c>
      <c r="AC102" s="12" t="n">
        <v>0</v>
      </c>
      <c r="AD102" s="12" t="n">
        <v>1</v>
      </c>
      <c r="AE102" s="12" t="n">
        <v>1</v>
      </c>
      <c r="AF102" s="12" t="n">
        <v>0</v>
      </c>
      <c r="AG102" s="12" t="n">
        <v>0</v>
      </c>
      <c r="AH102" s="12" t="n">
        <v>1</v>
      </c>
      <c r="AI102" s="12" t="n">
        <v>1</v>
      </c>
      <c r="AJ102" s="12" t="n">
        <v>0</v>
      </c>
      <c r="AK102" s="12" t="n">
        <v>0</v>
      </c>
      <c r="AL102" s="12" t="n">
        <v>0</v>
      </c>
      <c r="AM102" s="12" t="n">
        <v>1</v>
      </c>
      <c r="AN102" s="12" t="n">
        <v>0</v>
      </c>
      <c r="AO102" s="12" t="n">
        <v>0</v>
      </c>
      <c r="AP102" s="12" t="n">
        <v>0</v>
      </c>
      <c r="AQ102" s="12" t="n">
        <v>0</v>
      </c>
      <c r="AR102" s="12" t="n">
        <v>0</v>
      </c>
      <c r="AS102" s="12" t="n">
        <v>0</v>
      </c>
      <c r="AT102" s="12" t="s">
        <v>480</v>
      </c>
      <c r="AU102" s="12" t="s">
        <v>398</v>
      </c>
      <c r="AV102" s="12" t="n">
        <v>0</v>
      </c>
      <c r="AW102" s="12" t="n">
        <v>0</v>
      </c>
      <c r="AX102" s="12" t="n">
        <v>0</v>
      </c>
      <c r="AY102" s="12" t="n">
        <v>1</v>
      </c>
      <c r="AZ102" s="12" t="n">
        <v>0</v>
      </c>
      <c r="BA102" s="12" t="n">
        <v>0</v>
      </c>
      <c r="BB102" s="12" t="n">
        <v>4</v>
      </c>
      <c r="BC102" s="12" t="n">
        <v>4</v>
      </c>
      <c r="BD102" s="12" t="n">
        <v>6</v>
      </c>
      <c r="BE102" s="12" t="n">
        <v>5</v>
      </c>
      <c r="BF102" s="12" t="n">
        <v>4</v>
      </c>
      <c r="BG102" s="12" t="n">
        <v>3</v>
      </c>
      <c r="BH102" s="12" t="n">
        <v>4</v>
      </c>
      <c r="BI102" s="12" t="n">
        <v>4</v>
      </c>
      <c r="BJ102" s="12" t="n">
        <v>3</v>
      </c>
      <c r="BK102" s="12" t="n">
        <v>4</v>
      </c>
      <c r="BL102" s="12" t="n">
        <v>5</v>
      </c>
      <c r="BM102" s="12" t="n">
        <v>3</v>
      </c>
      <c r="BN102" s="12" t="n">
        <v>3</v>
      </c>
      <c r="BO102" s="12" t="n">
        <v>1</v>
      </c>
      <c r="BP102" s="12" t="n">
        <v>2</v>
      </c>
      <c r="BQ102" s="12" t="n">
        <v>4</v>
      </c>
      <c r="BR102" s="12" t="n">
        <v>6</v>
      </c>
      <c r="BS102" s="12" t="n">
        <v>5</v>
      </c>
      <c r="BT102" s="12" t="s">
        <v>983</v>
      </c>
      <c r="BU102" s="12"/>
      <c r="BV102" s="12" t="s">
        <v>984</v>
      </c>
      <c r="BW102" s="16" t="n">
        <f aca="false">IF($R102="","",INDEX(Codes!$E$2:$E$108,MATCH("B1|"&amp;$R102,Codes!$A$2:$A$108,0)))</f>
        <v>6</v>
      </c>
      <c r="BX102" s="16" t="n">
        <f aca="false">IF($Y102="","",INDEX(Codes!$E$2:$E$108,MATCH("B4|"&amp;$Y102,Codes!$A$2:$A$108,0)))</f>
        <v>2</v>
      </c>
      <c r="BY102" s="16" t="n">
        <f aca="false">IF($I102="","",INDEX(Codes!$E$2:$E$108,MATCH("A7|"&amp;$I102,Codes!$A$2:$A$108,0)))</f>
        <v>3</v>
      </c>
      <c r="BZ102" s="16" t="n">
        <f aca="false">IF($AU102="","",INDEX(Codes!$E$2:$E$108,MATCH("B8|"&amp;$AU102,Codes!$A$2:$A$108,0)))</f>
        <v>3</v>
      </c>
      <c r="CA102" s="16" t="n">
        <f aca="false">IF($H102="","",INDEX(Codes!$E$2:$E$108,MATCH("A6|"&amp;$H102,Codes!$A$2:$A$108,0)))</f>
        <v>5</v>
      </c>
      <c r="CB102" s="16" t="n">
        <f aca="false">IF($X102="","",IF($X102="phone",1,0))</f>
        <v>0</v>
      </c>
      <c r="CC102" s="16" t="n">
        <f aca="false">IF($BC102="","",8-$BC102)</f>
        <v>4</v>
      </c>
      <c r="CD102" s="12" t="s">
        <v>643</v>
      </c>
      <c r="CE102" s="12" t="n">
        <v>-1.317</v>
      </c>
      <c r="CF102" s="12" t="n">
        <v>-1.552</v>
      </c>
    </row>
    <row r="103" customFormat="false" ht="15" hidden="false" customHeight="false" outlineLevel="0" collapsed="false">
      <c r="A103" s="12" t="s">
        <v>985</v>
      </c>
      <c r="B103" s="12" t="s">
        <v>986</v>
      </c>
      <c r="C103" s="12" t="s">
        <v>286</v>
      </c>
      <c r="D103" s="12" t="s">
        <v>295</v>
      </c>
      <c r="E103" s="12" t="s">
        <v>308</v>
      </c>
      <c r="F103" s="12" t="s">
        <v>324</v>
      </c>
      <c r="G103" s="12" t="s">
        <v>333</v>
      </c>
      <c r="H103" s="12" t="s">
        <v>349</v>
      </c>
      <c r="I103" s="12" t="s">
        <v>359</v>
      </c>
      <c r="J103" s="12" t="n">
        <v>1</v>
      </c>
      <c r="K103" s="12" t="n">
        <v>0</v>
      </c>
      <c r="L103" s="12" t="n">
        <v>0</v>
      </c>
      <c r="M103" s="12" t="n">
        <v>0</v>
      </c>
      <c r="N103" s="12" t="n">
        <v>0</v>
      </c>
      <c r="O103" s="12" t="n">
        <v>0</v>
      </c>
      <c r="P103" s="12" t="n">
        <v>0</v>
      </c>
      <c r="Q103" s="12" t="n">
        <v>4</v>
      </c>
      <c r="R103" s="12" t="s">
        <v>404</v>
      </c>
      <c r="S103" s="12" t="n">
        <v>1</v>
      </c>
      <c r="T103" s="12" t="n">
        <v>0</v>
      </c>
      <c r="U103" s="12" t="n">
        <v>0</v>
      </c>
      <c r="V103" s="12" t="n">
        <v>0</v>
      </c>
      <c r="W103" s="12" t="n">
        <v>0</v>
      </c>
      <c r="X103" s="12" t="s">
        <v>407</v>
      </c>
      <c r="Y103" s="12" t="s">
        <v>440</v>
      </c>
      <c r="Z103" s="12" t="n">
        <v>1</v>
      </c>
      <c r="AA103" s="12" t="n">
        <v>1</v>
      </c>
      <c r="AB103" s="12" t="n">
        <v>1</v>
      </c>
      <c r="AC103" s="12" t="n">
        <v>1</v>
      </c>
      <c r="AD103" s="12" t="n">
        <v>0</v>
      </c>
      <c r="AE103" s="12" t="n">
        <v>1</v>
      </c>
      <c r="AF103" s="12" t="n">
        <v>0</v>
      </c>
      <c r="AG103" s="12" t="n">
        <v>1</v>
      </c>
      <c r="AH103" s="12" t="n">
        <v>0</v>
      </c>
      <c r="AI103" s="12" t="n">
        <v>0</v>
      </c>
      <c r="AJ103" s="12" t="n">
        <v>1</v>
      </c>
      <c r="AK103" s="12" t="n">
        <v>0</v>
      </c>
      <c r="AL103" s="12" t="n">
        <v>1</v>
      </c>
      <c r="AM103" s="12" t="n">
        <v>0</v>
      </c>
      <c r="AN103" s="12" t="n">
        <v>0</v>
      </c>
      <c r="AO103" s="12" t="n">
        <v>0</v>
      </c>
      <c r="AP103" s="12" t="n">
        <v>0</v>
      </c>
      <c r="AQ103" s="12" t="n">
        <v>0</v>
      </c>
      <c r="AR103" s="12" t="n">
        <v>0</v>
      </c>
      <c r="AS103" s="12" t="n">
        <v>0</v>
      </c>
      <c r="AT103" s="12" t="s">
        <v>480</v>
      </c>
      <c r="AU103" s="12" t="s">
        <v>395</v>
      </c>
      <c r="AV103" s="12" t="n">
        <v>0</v>
      </c>
      <c r="AW103" s="12" t="n">
        <v>1</v>
      </c>
      <c r="AX103" s="12" t="n">
        <v>0</v>
      </c>
      <c r="AY103" s="12" t="n">
        <v>1</v>
      </c>
      <c r="AZ103" s="12" t="n">
        <v>1</v>
      </c>
      <c r="BA103" s="12" t="n">
        <v>0</v>
      </c>
      <c r="BB103" s="12" t="n">
        <v>5</v>
      </c>
      <c r="BC103" s="12" t="n">
        <v>4</v>
      </c>
      <c r="BD103" s="12" t="n">
        <v>3</v>
      </c>
      <c r="BE103" s="12" t="n">
        <v>7</v>
      </c>
      <c r="BF103" s="12" t="n">
        <v>4</v>
      </c>
      <c r="BG103" s="12" t="n">
        <v>2</v>
      </c>
      <c r="BH103" s="12" t="n">
        <v>5</v>
      </c>
      <c r="BI103" s="12" t="n">
        <v>6</v>
      </c>
      <c r="BJ103" s="12" t="n">
        <v>7</v>
      </c>
      <c r="BK103" s="12" t="n">
        <v>4</v>
      </c>
      <c r="BL103" s="12" t="n">
        <v>5</v>
      </c>
      <c r="BM103" s="12" t="n">
        <v>4</v>
      </c>
      <c r="BN103" s="12" t="n">
        <v>3</v>
      </c>
      <c r="BO103" s="12" t="n">
        <v>2</v>
      </c>
      <c r="BP103" s="12" t="n">
        <v>1</v>
      </c>
      <c r="BQ103" s="12" t="n">
        <v>4</v>
      </c>
      <c r="BR103" s="12" t="n">
        <v>5</v>
      </c>
      <c r="BS103" s="12" t="n">
        <v>6</v>
      </c>
      <c r="BT103" s="12" t="s">
        <v>987</v>
      </c>
      <c r="BU103" s="12"/>
      <c r="BV103" s="12" t="s">
        <v>988</v>
      </c>
      <c r="BW103" s="16" t="n">
        <f aca="false">IF($R103="","",INDEX(Codes!$E$2:$E$108,MATCH("B1|"&amp;$R103,Codes!$A$2:$A$108,0)))</f>
        <v>6</v>
      </c>
      <c r="BX103" s="16" t="n">
        <f aca="false">IF($Y103="","",INDEX(Codes!$E$2:$E$108,MATCH("B4|"&amp;$Y103,Codes!$A$2:$A$108,0)))</f>
        <v>5</v>
      </c>
      <c r="BY103" s="16" t="n">
        <f aca="false">IF($I103="","",INDEX(Codes!$E$2:$E$108,MATCH("A7|"&amp;$I103,Codes!$A$2:$A$108,0)))</f>
        <v>1</v>
      </c>
      <c r="BZ103" s="16" t="n">
        <f aca="false">IF($AU103="","",INDEX(Codes!$E$2:$E$108,MATCH("B8|"&amp;$AU103,Codes!$A$2:$A$108,0)))</f>
        <v>2</v>
      </c>
      <c r="CA103" s="16" t="n">
        <f aca="false">IF($H103="","",INDEX(Codes!$E$2:$E$108,MATCH("A6|"&amp;$H103,Codes!$A$2:$A$108,0)))</f>
        <v>4</v>
      </c>
      <c r="CB103" s="16" t="n">
        <f aca="false">IF($X103="","",IF($X103="phone",1,0))</f>
        <v>0</v>
      </c>
      <c r="CC103" s="16" t="n">
        <f aca="false">IF($BC103="","",8-$BC103)</f>
        <v>4</v>
      </c>
      <c r="CD103" s="12" t="s">
        <v>614</v>
      </c>
      <c r="CE103" s="12" t="n">
        <v>-1.57</v>
      </c>
      <c r="CF103" s="12" t="n">
        <v>0.659</v>
      </c>
    </row>
    <row r="104" customFormat="false" ht="15" hidden="false" customHeight="false" outlineLevel="0" collapsed="false">
      <c r="A104" s="12" t="s">
        <v>989</v>
      </c>
      <c r="B104" s="12" t="s">
        <v>986</v>
      </c>
      <c r="C104" s="12" t="s">
        <v>271</v>
      </c>
      <c r="D104" s="12" t="s">
        <v>289</v>
      </c>
      <c r="E104" s="12" t="s">
        <v>305</v>
      </c>
      <c r="F104" s="12" t="s">
        <v>315</v>
      </c>
      <c r="G104" s="12" t="s">
        <v>333</v>
      </c>
      <c r="H104" s="12" t="s">
        <v>349</v>
      </c>
      <c r="I104" s="12" t="s">
        <v>362</v>
      </c>
      <c r="J104" s="12" t="n">
        <v>1</v>
      </c>
      <c r="K104" s="12" t="n">
        <v>0</v>
      </c>
      <c r="L104" s="12" t="n">
        <v>0</v>
      </c>
      <c r="M104" s="12" t="n">
        <v>0</v>
      </c>
      <c r="N104" s="12" t="n">
        <v>0</v>
      </c>
      <c r="O104" s="12" t="n">
        <v>0</v>
      </c>
      <c r="P104" s="12" t="n">
        <v>0</v>
      </c>
      <c r="Q104" s="12" t="n">
        <v>5</v>
      </c>
      <c r="R104" s="12" t="s">
        <v>404</v>
      </c>
      <c r="S104" s="12" t="n">
        <v>1</v>
      </c>
      <c r="T104" s="12" t="n">
        <v>0</v>
      </c>
      <c r="U104" s="12" t="n">
        <v>1</v>
      </c>
      <c r="V104" s="12" t="n">
        <v>1</v>
      </c>
      <c r="W104" s="12" t="n">
        <v>0</v>
      </c>
      <c r="X104" s="12" t="s">
        <v>424</v>
      </c>
      <c r="Y104" s="12" t="s">
        <v>428</v>
      </c>
      <c r="Z104" s="12" t="n">
        <v>1</v>
      </c>
      <c r="AA104" s="12" t="n">
        <v>1</v>
      </c>
      <c r="AB104" s="12" t="n">
        <v>1</v>
      </c>
      <c r="AC104" s="12" t="n">
        <v>1</v>
      </c>
      <c r="AD104" s="12" t="n">
        <v>0</v>
      </c>
      <c r="AE104" s="12" t="n">
        <v>0</v>
      </c>
      <c r="AF104" s="12" t="n">
        <v>0</v>
      </c>
      <c r="AG104" s="12" t="n">
        <v>0</v>
      </c>
      <c r="AH104" s="12" t="n">
        <v>1</v>
      </c>
      <c r="AI104" s="12" t="n">
        <v>0</v>
      </c>
      <c r="AJ104" s="12" t="n">
        <v>0</v>
      </c>
      <c r="AK104" s="12" t="n">
        <v>0</v>
      </c>
      <c r="AL104" s="12" t="n">
        <v>0</v>
      </c>
      <c r="AM104" s="12" t="n">
        <v>0</v>
      </c>
      <c r="AN104" s="12" t="n">
        <v>0</v>
      </c>
      <c r="AO104" s="12" t="n">
        <v>0</v>
      </c>
      <c r="AP104" s="12" t="n">
        <v>1</v>
      </c>
      <c r="AQ104" s="12" t="n">
        <v>0</v>
      </c>
      <c r="AR104" s="12" t="n">
        <v>1</v>
      </c>
      <c r="AS104" s="12" t="n">
        <v>0</v>
      </c>
      <c r="AT104" s="12" t="s">
        <v>483</v>
      </c>
      <c r="AU104" s="12" t="s">
        <v>395</v>
      </c>
      <c r="AV104" s="12" t="n">
        <v>0</v>
      </c>
      <c r="AW104" s="12" t="n">
        <v>0</v>
      </c>
      <c r="AX104" s="12" t="n">
        <v>0</v>
      </c>
      <c r="AY104" s="12" t="n">
        <v>1</v>
      </c>
      <c r="AZ104" s="12" t="n">
        <v>0</v>
      </c>
      <c r="BA104" s="12" t="n">
        <v>0</v>
      </c>
      <c r="BB104" s="12" t="n">
        <v>3</v>
      </c>
      <c r="BC104" s="12" t="n">
        <v>5</v>
      </c>
      <c r="BD104" s="12" t="n">
        <v>4</v>
      </c>
      <c r="BE104" s="12" t="n">
        <v>6</v>
      </c>
      <c r="BF104" s="12" t="n">
        <v>4</v>
      </c>
      <c r="BG104" s="12" t="n">
        <v>4</v>
      </c>
      <c r="BH104" s="12" t="n">
        <v>3</v>
      </c>
      <c r="BI104" s="12" t="n">
        <v>5</v>
      </c>
      <c r="BJ104" s="12" t="n">
        <v>5</v>
      </c>
      <c r="BK104" s="12" t="n">
        <v>5</v>
      </c>
      <c r="BL104" s="12" t="n">
        <v>3</v>
      </c>
      <c r="BM104" s="12" t="n">
        <v>4</v>
      </c>
      <c r="BN104" s="12" t="n">
        <v>4</v>
      </c>
      <c r="BO104" s="12" t="n">
        <v>1</v>
      </c>
      <c r="BP104" s="12" t="n">
        <v>2</v>
      </c>
      <c r="BQ104" s="12" t="n">
        <v>3</v>
      </c>
      <c r="BR104" s="12" t="n">
        <v>5</v>
      </c>
      <c r="BS104" s="12" t="n">
        <v>6</v>
      </c>
      <c r="BT104" s="12" t="s">
        <v>990</v>
      </c>
      <c r="BU104" s="12" t="s">
        <v>991</v>
      </c>
      <c r="BV104" s="12"/>
      <c r="BW104" s="16" t="n">
        <f aca="false">IF($R104="","",INDEX(Codes!$E$2:$E$108,MATCH("B1|"&amp;$R104,Codes!$A$2:$A$108,0)))</f>
        <v>6</v>
      </c>
      <c r="BX104" s="16" t="n">
        <f aca="false">IF($Y104="","",INDEX(Codes!$E$2:$E$108,MATCH("B4|"&amp;$Y104,Codes!$A$2:$A$108,0)))</f>
        <v>1</v>
      </c>
      <c r="BY104" s="16" t="n">
        <f aca="false">IF($I104="","",INDEX(Codes!$E$2:$E$108,MATCH("A7|"&amp;$I104,Codes!$A$2:$A$108,0)))</f>
        <v>2</v>
      </c>
      <c r="BZ104" s="16" t="n">
        <f aca="false">IF($AU104="","",INDEX(Codes!$E$2:$E$108,MATCH("B8|"&amp;$AU104,Codes!$A$2:$A$108,0)))</f>
        <v>2</v>
      </c>
      <c r="CA104" s="16" t="n">
        <f aca="false">IF($H104="","",INDEX(Codes!$E$2:$E$108,MATCH("A6|"&amp;$H104,Codes!$A$2:$A$108,0)))</f>
        <v>4</v>
      </c>
      <c r="CB104" s="16" t="n">
        <f aca="false">IF($X104="","",IF($X104="phone",1,0))</f>
        <v>1</v>
      </c>
      <c r="CC104" s="16" t="n">
        <f aca="false">IF($BC104="","",8-$BC104)</f>
        <v>3</v>
      </c>
      <c r="CD104" s="12" t="s">
        <v>643</v>
      </c>
      <c r="CE104" s="12" t="n">
        <v>-2.248</v>
      </c>
      <c r="CF104" s="12" t="n">
        <v>-2.375</v>
      </c>
    </row>
    <row r="105" customFormat="false" ht="15" hidden="false" customHeight="false" outlineLevel="0" collapsed="false">
      <c r="A105" s="12" t="s">
        <v>992</v>
      </c>
      <c r="B105" s="12" t="s">
        <v>993</v>
      </c>
      <c r="C105" s="12" t="s">
        <v>271</v>
      </c>
      <c r="D105" s="12" t="s">
        <v>302</v>
      </c>
      <c r="E105" s="12" t="s">
        <v>302</v>
      </c>
      <c r="F105" s="12" t="s">
        <v>315</v>
      </c>
      <c r="G105" s="12" t="s">
        <v>302</v>
      </c>
      <c r="H105" s="12" t="s">
        <v>347</v>
      </c>
      <c r="I105" s="12" t="s">
        <v>359</v>
      </c>
      <c r="J105" s="12" t="n">
        <v>1</v>
      </c>
      <c r="K105" s="12" t="n">
        <v>0</v>
      </c>
      <c r="L105" s="12" t="n">
        <v>0</v>
      </c>
      <c r="M105" s="12" t="n">
        <v>0</v>
      </c>
      <c r="N105" s="12" t="n">
        <v>0</v>
      </c>
      <c r="O105" s="12" t="n">
        <v>0</v>
      </c>
      <c r="P105" s="12" t="n">
        <v>0</v>
      </c>
      <c r="Q105" s="12" t="n">
        <v>6</v>
      </c>
      <c r="R105" s="12" t="s">
        <v>404</v>
      </c>
      <c r="S105" s="12" t="n">
        <v>1</v>
      </c>
      <c r="T105" s="12" t="n">
        <v>0</v>
      </c>
      <c r="U105" s="12" t="n">
        <v>0</v>
      </c>
      <c r="V105" s="12" t="n">
        <v>1</v>
      </c>
      <c r="W105" s="12" t="n">
        <v>0</v>
      </c>
      <c r="X105" s="12" t="s">
        <v>407</v>
      </c>
      <c r="Y105" s="12" t="s">
        <v>431</v>
      </c>
      <c r="Z105" s="12" t="n">
        <v>1</v>
      </c>
      <c r="AA105" s="12" t="n">
        <v>1</v>
      </c>
      <c r="AB105" s="12" t="n">
        <v>1</v>
      </c>
      <c r="AC105" s="12" t="n">
        <v>0</v>
      </c>
      <c r="AD105" s="12" t="n">
        <v>0</v>
      </c>
      <c r="AE105" s="12" t="n">
        <v>0</v>
      </c>
      <c r="AF105" s="12" t="n">
        <v>0</v>
      </c>
      <c r="AG105" s="12" t="n">
        <v>0</v>
      </c>
      <c r="AH105" s="12" t="n">
        <v>0</v>
      </c>
      <c r="AI105" s="12" t="n">
        <v>0</v>
      </c>
      <c r="AJ105" s="12" t="n">
        <v>0</v>
      </c>
      <c r="AK105" s="12" t="n">
        <v>0</v>
      </c>
      <c r="AL105" s="12" t="n">
        <v>1</v>
      </c>
      <c r="AM105" s="12" t="n">
        <v>0</v>
      </c>
      <c r="AN105" s="12" t="n">
        <v>0</v>
      </c>
      <c r="AO105" s="12" t="n">
        <v>0</v>
      </c>
      <c r="AP105" s="12" t="n">
        <v>1</v>
      </c>
      <c r="AQ105" s="12" t="n">
        <v>0</v>
      </c>
      <c r="AR105" s="12" t="n">
        <v>0</v>
      </c>
      <c r="AS105" s="12" t="n">
        <v>0</v>
      </c>
      <c r="AT105" s="12" t="s">
        <v>483</v>
      </c>
      <c r="AU105" s="12" t="s">
        <v>356</v>
      </c>
      <c r="AV105" s="12" t="n">
        <v>0</v>
      </c>
      <c r="AW105" s="12" t="n">
        <v>0</v>
      </c>
      <c r="AX105" s="12" t="n">
        <v>0</v>
      </c>
      <c r="AY105" s="12" t="n">
        <v>1</v>
      </c>
      <c r="AZ105" s="12" t="n">
        <v>0</v>
      </c>
      <c r="BA105" s="12" t="n">
        <v>0</v>
      </c>
      <c r="BB105" s="12" t="n">
        <v>4</v>
      </c>
      <c r="BC105" s="12" t="n">
        <v>3</v>
      </c>
      <c r="BD105" s="12" t="n">
        <v>6</v>
      </c>
      <c r="BE105" s="12" t="n">
        <v>6</v>
      </c>
      <c r="BF105" s="12" t="n">
        <v>3</v>
      </c>
      <c r="BG105" s="12" t="n">
        <v>4</v>
      </c>
      <c r="BH105" s="12" t="n">
        <v>5</v>
      </c>
      <c r="BI105" s="12" t="n">
        <v>5</v>
      </c>
      <c r="BJ105" s="12" t="n">
        <v>6</v>
      </c>
      <c r="BK105" s="12" t="n">
        <v>3</v>
      </c>
      <c r="BL105" s="12" t="n">
        <v>3</v>
      </c>
      <c r="BM105" s="12" t="n">
        <v>4</v>
      </c>
      <c r="BN105" s="12" t="n">
        <v>3</v>
      </c>
      <c r="BO105" s="12" t="n">
        <v>1</v>
      </c>
      <c r="BP105" s="12" t="n">
        <v>2</v>
      </c>
      <c r="BQ105" s="12" t="n">
        <v>4</v>
      </c>
      <c r="BR105" s="12" t="n">
        <v>5</v>
      </c>
      <c r="BS105" s="12" t="n">
        <v>6</v>
      </c>
      <c r="BT105" s="12" t="s">
        <v>994</v>
      </c>
      <c r="BU105" s="12" t="s">
        <v>995</v>
      </c>
      <c r="BV105" s="12"/>
      <c r="BW105" s="16" t="n">
        <f aca="false">IF($R105="","",INDEX(Codes!$E$2:$E$108,MATCH("B1|"&amp;$R105,Codes!$A$2:$A$108,0)))</f>
        <v>6</v>
      </c>
      <c r="BX105" s="16" t="n">
        <f aca="false">IF($Y105="","",INDEX(Codes!$E$2:$E$108,MATCH("B4|"&amp;$Y105,Codes!$A$2:$A$108,0)))</f>
        <v>2</v>
      </c>
      <c r="BY105" s="16" t="n">
        <f aca="false">IF($I105="","",INDEX(Codes!$E$2:$E$108,MATCH("A7|"&amp;$I105,Codes!$A$2:$A$108,0)))</f>
        <v>1</v>
      </c>
      <c r="BZ105" s="16" t="n">
        <f aca="false">IF($AU105="","",INDEX(Codes!$E$2:$E$108,MATCH("B8|"&amp;$AU105,Codes!$A$2:$A$108,0)))</f>
        <v>0</v>
      </c>
      <c r="CA105" s="16" t="n">
        <f aca="false">IF($H105="","",INDEX(Codes!$E$2:$E$108,MATCH("A6|"&amp;$H105,Codes!$A$2:$A$108,0)))</f>
        <v>3</v>
      </c>
      <c r="CB105" s="16" t="n">
        <f aca="false">IF($X105="","",IF($X105="phone",1,0))</f>
        <v>0</v>
      </c>
      <c r="CC105" s="16" t="n">
        <f aca="false">IF($BC105="","",8-$BC105)</f>
        <v>5</v>
      </c>
      <c r="CD105" s="12" t="s">
        <v>643</v>
      </c>
      <c r="CE105" s="12" t="n">
        <v>-2.355</v>
      </c>
      <c r="CF105" s="12" t="n">
        <v>0.07</v>
      </c>
    </row>
    <row r="106" customFormat="false" ht="15" hidden="false" customHeight="false" outlineLevel="0" collapsed="false">
      <c r="A106" s="12" t="s">
        <v>996</v>
      </c>
      <c r="B106" s="12" t="s">
        <v>997</v>
      </c>
      <c r="C106" s="12" t="s">
        <v>271</v>
      </c>
      <c r="D106" s="12" t="s">
        <v>295</v>
      </c>
      <c r="E106" s="12" t="s">
        <v>305</v>
      </c>
      <c r="F106" s="12" t="s">
        <v>315</v>
      </c>
      <c r="G106" s="12" t="s">
        <v>333</v>
      </c>
      <c r="H106" s="12" t="s">
        <v>347</v>
      </c>
      <c r="I106" s="12" t="s">
        <v>362</v>
      </c>
      <c r="J106" s="12" t="n">
        <v>1</v>
      </c>
      <c r="K106" s="12" t="n">
        <v>0</v>
      </c>
      <c r="L106" s="12" t="n">
        <v>0</v>
      </c>
      <c r="M106" s="12" t="n">
        <v>0</v>
      </c>
      <c r="N106" s="12" t="n">
        <v>0</v>
      </c>
      <c r="O106" s="12" t="n">
        <v>0</v>
      </c>
      <c r="P106" s="12" t="n">
        <v>0</v>
      </c>
      <c r="Q106" s="12" t="n">
        <v>6</v>
      </c>
      <c r="R106" s="12" t="s">
        <v>343</v>
      </c>
      <c r="S106" s="12" t="n">
        <v>0</v>
      </c>
      <c r="T106" s="12" t="n">
        <v>0</v>
      </c>
      <c r="U106" s="12" t="n">
        <v>1</v>
      </c>
      <c r="V106" s="12" t="n">
        <v>0</v>
      </c>
      <c r="W106" s="12" t="n">
        <v>0</v>
      </c>
      <c r="X106" s="12" t="s">
        <v>407</v>
      </c>
      <c r="Y106" s="12" t="s">
        <v>434</v>
      </c>
      <c r="Z106" s="12" t="n">
        <v>1</v>
      </c>
      <c r="AA106" s="12" t="n">
        <v>1</v>
      </c>
      <c r="AB106" s="12" t="n">
        <v>0</v>
      </c>
      <c r="AC106" s="12" t="n">
        <v>1</v>
      </c>
      <c r="AD106" s="12" t="n">
        <v>0</v>
      </c>
      <c r="AE106" s="12" t="n">
        <v>0</v>
      </c>
      <c r="AF106" s="12" t="n">
        <v>0</v>
      </c>
      <c r="AG106" s="12" t="n">
        <v>0</v>
      </c>
      <c r="AH106" s="12" t="n">
        <v>0</v>
      </c>
      <c r="AI106" s="12" t="n">
        <v>0</v>
      </c>
      <c r="AJ106" s="12" t="n">
        <v>0</v>
      </c>
      <c r="AK106" s="12" t="n">
        <v>0</v>
      </c>
      <c r="AL106" s="12" t="n">
        <v>1</v>
      </c>
      <c r="AM106" s="12" t="n">
        <v>1</v>
      </c>
      <c r="AN106" s="12" t="n">
        <v>0</v>
      </c>
      <c r="AO106" s="12" t="n">
        <v>1</v>
      </c>
      <c r="AP106" s="12" t="n">
        <v>0</v>
      </c>
      <c r="AQ106" s="12" t="n">
        <v>1</v>
      </c>
      <c r="AR106" s="12" t="n">
        <v>1</v>
      </c>
      <c r="AS106" s="12" t="n">
        <v>0</v>
      </c>
      <c r="AT106" s="12" t="s">
        <v>504</v>
      </c>
      <c r="AU106" s="12" t="s">
        <v>398</v>
      </c>
      <c r="AV106" s="12" t="n">
        <v>0</v>
      </c>
      <c r="AW106" s="12" t="n">
        <v>1</v>
      </c>
      <c r="AX106" s="12" t="n">
        <v>0</v>
      </c>
      <c r="AY106" s="12" t="n">
        <v>1</v>
      </c>
      <c r="AZ106" s="12" t="n">
        <v>1</v>
      </c>
      <c r="BA106" s="12" t="n">
        <v>0</v>
      </c>
      <c r="BB106" s="12" t="n">
        <v>2</v>
      </c>
      <c r="BC106" s="12" t="n">
        <v>7</v>
      </c>
      <c r="BD106" s="12" t="n">
        <v>3</v>
      </c>
      <c r="BE106" s="12" t="n">
        <v>5</v>
      </c>
      <c r="BF106" s="12" t="n">
        <v>5</v>
      </c>
      <c r="BG106" s="12" t="n">
        <v>3</v>
      </c>
      <c r="BH106" s="12" t="n">
        <v>5</v>
      </c>
      <c r="BI106" s="12" t="n">
        <v>4</v>
      </c>
      <c r="BJ106" s="12" t="n">
        <v>4</v>
      </c>
      <c r="BK106" s="12" t="n">
        <v>3</v>
      </c>
      <c r="BL106" s="12" t="n">
        <v>4</v>
      </c>
      <c r="BM106" s="12" t="n">
        <v>3</v>
      </c>
      <c r="BN106" s="12" t="n">
        <v>3</v>
      </c>
      <c r="BO106" s="12" t="n">
        <v>1</v>
      </c>
      <c r="BP106" s="12" t="n">
        <v>4</v>
      </c>
      <c r="BQ106" s="12" t="n">
        <v>5</v>
      </c>
      <c r="BR106" s="12" t="n">
        <v>2</v>
      </c>
      <c r="BS106" s="12" t="n">
        <v>6</v>
      </c>
      <c r="BT106" s="12" t="s">
        <v>987</v>
      </c>
      <c r="BU106" s="12"/>
      <c r="BV106" s="12" t="s">
        <v>880</v>
      </c>
      <c r="BW106" s="16" t="n">
        <f aca="false">IF($R106="","",INDEX(Codes!$E$2:$E$108,MATCH("B1|"&amp;$R106,Codes!$A$2:$A$108,0)))</f>
        <v>2</v>
      </c>
      <c r="BX106" s="16" t="n">
        <f aca="false">IF($Y106="","",INDEX(Codes!$E$2:$E$108,MATCH("B4|"&amp;$Y106,Codes!$A$2:$A$108,0)))</f>
        <v>3</v>
      </c>
      <c r="BY106" s="16" t="n">
        <f aca="false">IF($I106="","",INDEX(Codes!$E$2:$E$108,MATCH("A7|"&amp;$I106,Codes!$A$2:$A$108,0)))</f>
        <v>2</v>
      </c>
      <c r="BZ106" s="16" t="n">
        <f aca="false">IF($AU106="","",INDEX(Codes!$E$2:$E$108,MATCH("B8|"&amp;$AU106,Codes!$A$2:$A$108,0)))</f>
        <v>3</v>
      </c>
      <c r="CA106" s="16" t="n">
        <f aca="false">IF($H106="","",INDEX(Codes!$E$2:$E$108,MATCH("A6|"&amp;$H106,Codes!$A$2:$A$108,0)))</f>
        <v>3</v>
      </c>
      <c r="CB106" s="16" t="n">
        <f aca="false">IF($X106="","",IF($X106="phone",1,0))</f>
        <v>0</v>
      </c>
      <c r="CC106" s="16" t="n">
        <f aca="false">IF($BC106="","",8-$BC106)</f>
        <v>1</v>
      </c>
      <c r="CD106" s="12" t="s">
        <v>648</v>
      </c>
      <c r="CE106" s="12" t="n">
        <v>2.439</v>
      </c>
      <c r="CF106" s="12" t="n">
        <v>-1.167</v>
      </c>
    </row>
    <row r="107" customFormat="false" ht="15" hidden="false" customHeight="false" outlineLevel="0" collapsed="false">
      <c r="A107" s="12" t="s">
        <v>998</v>
      </c>
      <c r="B107" s="12" t="s">
        <v>999</v>
      </c>
      <c r="C107" s="12" t="s">
        <v>271</v>
      </c>
      <c r="D107" s="12" t="s">
        <v>291</v>
      </c>
      <c r="E107" s="12" t="s">
        <v>308</v>
      </c>
      <c r="F107" s="12" t="s">
        <v>318</v>
      </c>
      <c r="G107" s="12" t="s">
        <v>333</v>
      </c>
      <c r="H107" s="12" t="s">
        <v>349</v>
      </c>
      <c r="I107" s="12" t="s">
        <v>365</v>
      </c>
      <c r="J107" s="12" t="n">
        <v>0</v>
      </c>
      <c r="K107" s="12" t="n">
        <v>0</v>
      </c>
      <c r="L107" s="12" t="n">
        <v>0</v>
      </c>
      <c r="M107" s="12" t="n">
        <v>1</v>
      </c>
      <c r="N107" s="12" t="n">
        <v>0</v>
      </c>
      <c r="O107" s="12" t="n">
        <v>0</v>
      </c>
      <c r="P107" s="12" t="n">
        <v>0</v>
      </c>
      <c r="Q107" s="12" t="n">
        <v>7</v>
      </c>
      <c r="R107" s="12" t="s">
        <v>395</v>
      </c>
      <c r="S107" s="12" t="n">
        <v>1</v>
      </c>
      <c r="T107" s="12" t="n">
        <v>0</v>
      </c>
      <c r="U107" s="12" t="n">
        <v>0</v>
      </c>
      <c r="V107" s="12" t="n">
        <v>1</v>
      </c>
      <c r="W107" s="12" t="n">
        <v>0</v>
      </c>
      <c r="X107" s="12" t="s">
        <v>407</v>
      </c>
      <c r="Y107" s="12" t="s">
        <v>434</v>
      </c>
      <c r="Z107" s="12" t="n">
        <v>1</v>
      </c>
      <c r="AA107" s="12" t="n">
        <v>1</v>
      </c>
      <c r="AB107" s="12" t="n">
        <v>1</v>
      </c>
      <c r="AC107" s="12" t="n">
        <v>1</v>
      </c>
      <c r="AD107" s="12" t="n">
        <v>0</v>
      </c>
      <c r="AE107" s="12" t="n">
        <v>1</v>
      </c>
      <c r="AF107" s="12" t="n">
        <v>0</v>
      </c>
      <c r="AG107" s="12" t="n">
        <v>1</v>
      </c>
      <c r="AH107" s="12" t="n">
        <v>0</v>
      </c>
      <c r="AI107" s="12" t="n">
        <v>1</v>
      </c>
      <c r="AJ107" s="12" t="n">
        <v>0</v>
      </c>
      <c r="AK107" s="12" t="n">
        <v>0</v>
      </c>
      <c r="AL107" s="12" t="n">
        <v>0</v>
      </c>
      <c r="AM107" s="12" t="n">
        <v>1</v>
      </c>
      <c r="AN107" s="12" t="n">
        <v>0</v>
      </c>
      <c r="AO107" s="12" t="n">
        <v>0</v>
      </c>
      <c r="AP107" s="12" t="n">
        <v>1</v>
      </c>
      <c r="AQ107" s="12" t="n">
        <v>0</v>
      </c>
      <c r="AR107" s="12" t="n">
        <v>1</v>
      </c>
      <c r="AS107" s="12" t="n">
        <v>0</v>
      </c>
      <c r="AT107" s="12" t="s">
        <v>504</v>
      </c>
      <c r="AU107" s="12" t="s">
        <v>343</v>
      </c>
      <c r="AV107" s="12" t="n">
        <v>0</v>
      </c>
      <c r="AW107" s="12" t="n">
        <v>1</v>
      </c>
      <c r="AX107" s="12" t="n">
        <v>1</v>
      </c>
      <c r="AY107" s="12" t="n">
        <v>1</v>
      </c>
      <c r="AZ107" s="12" t="n">
        <v>1</v>
      </c>
      <c r="BA107" s="12" t="n">
        <v>0</v>
      </c>
      <c r="BB107" s="12" t="n">
        <v>5</v>
      </c>
      <c r="BC107" s="12" t="n">
        <v>4</v>
      </c>
      <c r="BD107" s="12" t="n">
        <v>3</v>
      </c>
      <c r="BE107" s="12" t="n">
        <v>6</v>
      </c>
      <c r="BF107" s="12" t="n">
        <v>3</v>
      </c>
      <c r="BG107" s="12" t="n">
        <v>2</v>
      </c>
      <c r="BH107" s="12" t="n">
        <v>4</v>
      </c>
      <c r="BI107" s="12" t="n">
        <v>5</v>
      </c>
      <c r="BJ107" s="12" t="n">
        <v>7</v>
      </c>
      <c r="BK107" s="12" t="n">
        <v>3</v>
      </c>
      <c r="BL107" s="12" t="n">
        <v>4</v>
      </c>
      <c r="BM107" s="12" t="n">
        <v>5</v>
      </c>
      <c r="BN107" s="12" t="n">
        <v>3</v>
      </c>
      <c r="BO107" s="12" t="n">
        <v>1</v>
      </c>
      <c r="BP107" s="12" t="n">
        <v>4</v>
      </c>
      <c r="BQ107" s="12" t="n">
        <v>5</v>
      </c>
      <c r="BR107" s="12" t="n">
        <v>2</v>
      </c>
      <c r="BS107" s="12" t="n">
        <v>6</v>
      </c>
      <c r="BT107" s="12" t="s">
        <v>1000</v>
      </c>
      <c r="BU107" s="12"/>
      <c r="BV107" s="12"/>
      <c r="BW107" s="16" t="n">
        <f aca="false">IF($R107="","",INDEX(Codes!$E$2:$E$108,MATCH("B1|"&amp;$R107,Codes!$A$2:$A$108,0)))</f>
        <v>3</v>
      </c>
      <c r="BX107" s="16" t="n">
        <f aca="false">IF($Y107="","",INDEX(Codes!$E$2:$E$108,MATCH("B4|"&amp;$Y107,Codes!$A$2:$A$108,0)))</f>
        <v>3</v>
      </c>
      <c r="BY107" s="16" t="n">
        <f aca="false">IF($I107="","",INDEX(Codes!$E$2:$E$108,MATCH("A7|"&amp;$I107,Codes!$A$2:$A$108,0)))</f>
        <v>3</v>
      </c>
      <c r="BZ107" s="16" t="n">
        <f aca="false">IF($AU107="","",INDEX(Codes!$E$2:$E$108,MATCH("B8|"&amp;$AU107,Codes!$A$2:$A$108,0)))</f>
        <v>1</v>
      </c>
      <c r="CA107" s="16" t="n">
        <f aca="false">IF($H107="","",INDEX(Codes!$E$2:$E$108,MATCH("A6|"&amp;$H107,Codes!$A$2:$A$108,0)))</f>
        <v>4</v>
      </c>
      <c r="CB107" s="16" t="n">
        <f aca="false">IF($X107="","",IF($X107="phone",1,0))</f>
        <v>0</v>
      </c>
      <c r="CC107" s="16" t="n">
        <f aca="false">IF($BC107="","",8-$BC107)</f>
        <v>4</v>
      </c>
      <c r="CD107" s="12" t="s">
        <v>648</v>
      </c>
      <c r="CE107" s="12" t="n">
        <v>-0.512</v>
      </c>
      <c r="CF107" s="12" t="n">
        <v>-0.254</v>
      </c>
    </row>
    <row r="108" customFormat="false" ht="15" hidden="false" customHeight="false" outlineLevel="0" collapsed="false">
      <c r="A108" s="12" t="s">
        <v>1001</v>
      </c>
      <c r="B108" s="12" t="s">
        <v>1002</v>
      </c>
      <c r="C108" s="12" t="s">
        <v>271</v>
      </c>
      <c r="D108" s="12" t="s">
        <v>295</v>
      </c>
      <c r="E108" s="12" t="s">
        <v>308</v>
      </c>
      <c r="F108" s="12" t="s">
        <v>318</v>
      </c>
      <c r="G108" s="12" t="s">
        <v>333</v>
      </c>
      <c r="H108" s="12" t="s">
        <v>349</v>
      </c>
      <c r="I108" s="12" t="s">
        <v>365</v>
      </c>
      <c r="J108" s="12" t="n">
        <v>1</v>
      </c>
      <c r="K108" s="12" t="n">
        <v>0</v>
      </c>
      <c r="L108" s="12" t="n">
        <v>0</v>
      </c>
      <c r="M108" s="12" t="n">
        <v>0</v>
      </c>
      <c r="N108" s="12" t="n">
        <v>0</v>
      </c>
      <c r="O108" s="12" t="n">
        <v>0</v>
      </c>
      <c r="P108" s="12" t="n">
        <v>0</v>
      </c>
      <c r="Q108" s="12" t="n">
        <v>4</v>
      </c>
      <c r="R108" s="12" t="s">
        <v>398</v>
      </c>
      <c r="S108" s="12" t="n">
        <v>1</v>
      </c>
      <c r="T108" s="12" t="n">
        <v>0</v>
      </c>
      <c r="U108" s="12" t="n">
        <v>0</v>
      </c>
      <c r="V108" s="12" t="n">
        <v>0</v>
      </c>
      <c r="W108" s="12" t="n">
        <v>0</v>
      </c>
      <c r="X108" s="12" t="s">
        <v>407</v>
      </c>
      <c r="Y108" s="12" t="s">
        <v>434</v>
      </c>
      <c r="Z108" s="12" t="n">
        <v>0</v>
      </c>
      <c r="AA108" s="12" t="n">
        <v>0</v>
      </c>
      <c r="AB108" s="12" t="n">
        <v>0</v>
      </c>
      <c r="AC108" s="12" t="n">
        <v>0</v>
      </c>
      <c r="AD108" s="12" t="n">
        <v>1</v>
      </c>
      <c r="AE108" s="12" t="n">
        <v>1</v>
      </c>
      <c r="AF108" s="12" t="n">
        <v>0</v>
      </c>
      <c r="AG108" s="12" t="n">
        <v>0</v>
      </c>
      <c r="AH108" s="12" t="n">
        <v>1</v>
      </c>
      <c r="AI108" s="12" t="n">
        <v>1</v>
      </c>
      <c r="AJ108" s="12" t="n">
        <v>0</v>
      </c>
      <c r="AK108" s="12" t="n">
        <v>0</v>
      </c>
      <c r="AL108" s="12" t="n">
        <v>0</v>
      </c>
      <c r="AM108" s="12" t="n">
        <v>1</v>
      </c>
      <c r="AN108" s="12" t="n">
        <v>0</v>
      </c>
      <c r="AO108" s="12" t="n">
        <v>0</v>
      </c>
      <c r="AP108" s="12" t="n">
        <v>0</v>
      </c>
      <c r="AQ108" s="12" t="n">
        <v>1</v>
      </c>
      <c r="AR108" s="12" t="n">
        <v>1</v>
      </c>
      <c r="AS108" s="12" t="n">
        <v>1</v>
      </c>
      <c r="AT108" s="12" t="s">
        <v>480</v>
      </c>
      <c r="AU108" s="12" t="s">
        <v>395</v>
      </c>
      <c r="AV108" s="12" t="n">
        <v>1</v>
      </c>
      <c r="AW108" s="12" t="n">
        <v>1</v>
      </c>
      <c r="AX108" s="12" t="n">
        <v>0</v>
      </c>
      <c r="AY108" s="12" t="n">
        <v>1</v>
      </c>
      <c r="AZ108" s="12" t="n">
        <v>1</v>
      </c>
      <c r="BA108" s="12" t="n">
        <v>0</v>
      </c>
      <c r="BB108" s="12" t="n">
        <v>4</v>
      </c>
      <c r="BC108" s="12" t="n">
        <v>2</v>
      </c>
      <c r="BD108" s="12" t="n">
        <v>4</v>
      </c>
      <c r="BE108" s="12" t="n">
        <v>5</v>
      </c>
      <c r="BF108" s="12" t="n">
        <v>3</v>
      </c>
      <c r="BG108" s="12" t="n">
        <v>3</v>
      </c>
      <c r="BH108" s="12" t="n">
        <v>6</v>
      </c>
      <c r="BI108" s="12" t="n">
        <v>6</v>
      </c>
      <c r="BJ108" s="12" t="n">
        <v>7</v>
      </c>
      <c r="BK108" s="12" t="n">
        <v>3</v>
      </c>
      <c r="BL108" s="12" t="n">
        <v>3</v>
      </c>
      <c r="BM108" s="12" t="n">
        <v>4</v>
      </c>
      <c r="BN108" s="12" t="n">
        <v>3</v>
      </c>
      <c r="BO108" s="12" t="n">
        <v>1</v>
      </c>
      <c r="BP108" s="12" t="n">
        <v>4</v>
      </c>
      <c r="BQ108" s="12" t="n">
        <v>5</v>
      </c>
      <c r="BR108" s="12" t="n">
        <v>2</v>
      </c>
      <c r="BS108" s="12" t="n">
        <v>6</v>
      </c>
      <c r="BT108" s="12" t="s">
        <v>1003</v>
      </c>
      <c r="BU108" s="12"/>
      <c r="BV108" s="12" t="s">
        <v>1004</v>
      </c>
      <c r="BW108" s="16" t="n">
        <f aca="false">IF($R108="","",INDEX(Codes!$E$2:$E$108,MATCH("B1|"&amp;$R108,Codes!$A$2:$A$108,0)))</f>
        <v>4</v>
      </c>
      <c r="BX108" s="16" t="n">
        <f aca="false">IF($Y108="","",INDEX(Codes!$E$2:$E$108,MATCH("B4|"&amp;$Y108,Codes!$A$2:$A$108,0)))</f>
        <v>3</v>
      </c>
      <c r="BY108" s="16" t="n">
        <f aca="false">IF($I108="","",INDEX(Codes!$E$2:$E$108,MATCH("A7|"&amp;$I108,Codes!$A$2:$A$108,0)))</f>
        <v>3</v>
      </c>
      <c r="BZ108" s="16" t="n">
        <f aca="false">IF($AU108="","",INDEX(Codes!$E$2:$E$108,MATCH("B8|"&amp;$AU108,Codes!$A$2:$A$108,0)))</f>
        <v>2</v>
      </c>
      <c r="CA108" s="16" t="n">
        <f aca="false">IF($H108="","",INDEX(Codes!$E$2:$E$108,MATCH("A6|"&amp;$H108,Codes!$A$2:$A$108,0)))</f>
        <v>4</v>
      </c>
      <c r="CB108" s="16" t="n">
        <f aca="false">IF($X108="","",IF($X108="phone",1,0))</f>
        <v>0</v>
      </c>
      <c r="CC108" s="16" t="n">
        <f aca="false">IF($BC108="","",8-$BC108)</f>
        <v>6</v>
      </c>
      <c r="CD108" s="12" t="s">
        <v>648</v>
      </c>
      <c r="CE108" s="12" t="n">
        <v>-0.322</v>
      </c>
      <c r="CF108" s="12" t="n">
        <v>-0.325</v>
      </c>
    </row>
    <row r="109" customFormat="false" ht="15" hidden="false" customHeight="false" outlineLevel="0" collapsed="false">
      <c r="A109" s="12" t="s">
        <v>1005</v>
      </c>
      <c r="B109" s="12" t="s">
        <v>1006</v>
      </c>
      <c r="C109" s="12" t="s">
        <v>274</v>
      </c>
      <c r="D109" s="12" t="s">
        <v>293</v>
      </c>
      <c r="E109" s="12" t="s">
        <v>308</v>
      </c>
      <c r="F109" s="12" t="s">
        <v>315</v>
      </c>
      <c r="G109" s="12" t="s">
        <v>339</v>
      </c>
      <c r="H109" s="12" t="s">
        <v>349</v>
      </c>
      <c r="I109" s="12" t="s">
        <v>359</v>
      </c>
      <c r="J109" s="12" t="n">
        <v>1</v>
      </c>
      <c r="K109" s="12" t="n">
        <v>0</v>
      </c>
      <c r="L109" s="12" t="n">
        <v>0</v>
      </c>
      <c r="M109" s="12" t="n">
        <v>0</v>
      </c>
      <c r="N109" s="12" t="n">
        <v>0</v>
      </c>
      <c r="O109" s="12" t="n">
        <v>0</v>
      </c>
      <c r="P109" s="12" t="n">
        <v>0</v>
      </c>
      <c r="Q109" s="12" t="n">
        <v>5</v>
      </c>
      <c r="R109" s="12" t="s">
        <v>398</v>
      </c>
      <c r="S109" s="12" t="n">
        <v>1</v>
      </c>
      <c r="T109" s="12" t="n">
        <v>1</v>
      </c>
      <c r="U109" s="12" t="n">
        <v>1</v>
      </c>
      <c r="V109" s="12" t="n">
        <v>0</v>
      </c>
      <c r="W109" s="12" t="n">
        <v>1</v>
      </c>
      <c r="X109" s="12" t="s">
        <v>407</v>
      </c>
      <c r="Y109" s="12" t="s">
        <v>434</v>
      </c>
      <c r="Z109" s="12" t="n">
        <v>1</v>
      </c>
      <c r="AA109" s="12" t="n">
        <v>1</v>
      </c>
      <c r="AB109" s="12" t="n">
        <v>0</v>
      </c>
      <c r="AC109" s="12" t="n">
        <v>1</v>
      </c>
      <c r="AD109" s="12" t="n">
        <v>1</v>
      </c>
      <c r="AE109" s="12" t="n">
        <v>1</v>
      </c>
      <c r="AF109" s="12" t="n">
        <v>0</v>
      </c>
      <c r="AG109" s="12" t="n">
        <v>0</v>
      </c>
      <c r="AH109" s="12" t="n">
        <v>0</v>
      </c>
      <c r="AI109" s="12" t="n">
        <v>1</v>
      </c>
      <c r="AJ109" s="12" t="n">
        <v>1</v>
      </c>
      <c r="AK109" s="12" t="n">
        <v>0</v>
      </c>
      <c r="AL109" s="12" t="n">
        <v>0</v>
      </c>
      <c r="AM109" s="12" t="n">
        <v>1</v>
      </c>
      <c r="AN109" s="12" t="n">
        <v>0</v>
      </c>
      <c r="AO109" s="12" t="n">
        <v>0</v>
      </c>
      <c r="AP109" s="12" t="n">
        <v>0</v>
      </c>
      <c r="AQ109" s="12" t="n">
        <v>1</v>
      </c>
      <c r="AR109" s="12" t="n">
        <v>0</v>
      </c>
      <c r="AS109" s="12" t="n">
        <v>0</v>
      </c>
      <c r="AT109" s="12" t="s">
        <v>504</v>
      </c>
      <c r="AU109" s="12" t="s">
        <v>395</v>
      </c>
      <c r="AV109" s="12" t="n">
        <v>1</v>
      </c>
      <c r="AW109" s="12" t="n">
        <v>0</v>
      </c>
      <c r="AX109" s="12" t="n">
        <v>0</v>
      </c>
      <c r="AY109" s="12" t="n">
        <v>0</v>
      </c>
      <c r="AZ109" s="12" t="n">
        <v>0</v>
      </c>
      <c r="BA109" s="12" t="n">
        <v>0</v>
      </c>
      <c r="BB109" s="12" t="n">
        <v>3</v>
      </c>
      <c r="BC109" s="12" t="n">
        <v>6</v>
      </c>
      <c r="BD109" s="12" t="n">
        <v>5</v>
      </c>
      <c r="BE109" s="12" t="n">
        <v>5</v>
      </c>
      <c r="BF109" s="12" t="n">
        <v>5</v>
      </c>
      <c r="BG109" s="12" t="n">
        <v>2</v>
      </c>
      <c r="BH109" s="12" t="n">
        <v>6</v>
      </c>
      <c r="BI109" s="12" t="n">
        <v>7</v>
      </c>
      <c r="BJ109" s="12" t="n">
        <v>7</v>
      </c>
      <c r="BK109" s="12" t="n">
        <v>5</v>
      </c>
      <c r="BL109" s="12" t="n">
        <v>2</v>
      </c>
      <c r="BM109" s="12" t="n">
        <v>4</v>
      </c>
      <c r="BN109" s="12" t="n">
        <v>1</v>
      </c>
      <c r="BO109" s="12" t="n">
        <v>2</v>
      </c>
      <c r="BP109" s="12" t="n">
        <v>4</v>
      </c>
      <c r="BQ109" s="12" t="n">
        <v>3</v>
      </c>
      <c r="BR109" s="12" t="n">
        <v>5</v>
      </c>
      <c r="BS109" s="12" t="n">
        <v>6</v>
      </c>
      <c r="BT109" s="12" t="s">
        <v>1007</v>
      </c>
      <c r="BU109" s="12"/>
      <c r="BV109" s="12"/>
      <c r="BW109" s="16" t="n">
        <f aca="false">IF($R109="","",INDEX(Codes!$E$2:$E$108,MATCH("B1|"&amp;$R109,Codes!$A$2:$A$108,0)))</f>
        <v>4</v>
      </c>
      <c r="BX109" s="16" t="n">
        <f aca="false">IF($Y109="","",INDEX(Codes!$E$2:$E$108,MATCH("B4|"&amp;$Y109,Codes!$A$2:$A$108,0)))</f>
        <v>3</v>
      </c>
      <c r="BY109" s="16" t="n">
        <f aca="false">IF($I109="","",INDEX(Codes!$E$2:$E$108,MATCH("A7|"&amp;$I109,Codes!$A$2:$A$108,0)))</f>
        <v>1</v>
      </c>
      <c r="BZ109" s="16" t="n">
        <f aca="false">IF($AU109="","",INDEX(Codes!$E$2:$E$108,MATCH("B8|"&amp;$AU109,Codes!$A$2:$A$108,0)))</f>
        <v>2</v>
      </c>
      <c r="CA109" s="16" t="n">
        <f aca="false">IF($H109="","",INDEX(Codes!$E$2:$E$108,MATCH("A6|"&amp;$H109,Codes!$A$2:$A$108,0)))</f>
        <v>4</v>
      </c>
      <c r="CB109" s="16" t="n">
        <f aca="false">IF($X109="","",IF($X109="phone",1,0))</f>
        <v>0</v>
      </c>
      <c r="CC109" s="16" t="n">
        <f aca="false">IF($BC109="","",8-$BC109)</f>
        <v>2</v>
      </c>
      <c r="CD109" s="12" t="s">
        <v>620</v>
      </c>
      <c r="CE109" s="12" t="n">
        <v>0.745</v>
      </c>
      <c r="CF109" s="12" t="n">
        <v>0.993</v>
      </c>
    </row>
    <row r="110" customFormat="false" ht="15" hidden="false" customHeight="false" outlineLevel="0" collapsed="false">
      <c r="A110" s="12" t="s">
        <v>1008</v>
      </c>
      <c r="B110" s="12" t="s">
        <v>1009</v>
      </c>
      <c r="C110" s="12" t="s">
        <v>271</v>
      </c>
      <c r="D110" s="12" t="s">
        <v>289</v>
      </c>
      <c r="E110" s="12" t="s">
        <v>305</v>
      </c>
      <c r="F110" s="12" t="s">
        <v>315</v>
      </c>
      <c r="G110" s="12" t="s">
        <v>333</v>
      </c>
      <c r="H110" s="12" t="s">
        <v>351</v>
      </c>
      <c r="I110" s="12" t="s">
        <v>362</v>
      </c>
      <c r="J110" s="12" t="n">
        <v>1</v>
      </c>
      <c r="K110" s="12" t="n">
        <v>0</v>
      </c>
      <c r="L110" s="12" t="n">
        <v>0</v>
      </c>
      <c r="M110" s="12" t="n">
        <v>0</v>
      </c>
      <c r="N110" s="12" t="n">
        <v>0</v>
      </c>
      <c r="O110" s="12" t="n">
        <v>0</v>
      </c>
      <c r="P110" s="12" t="n">
        <v>0</v>
      </c>
      <c r="Q110" s="12" t="n">
        <v>5</v>
      </c>
      <c r="R110" s="12" t="s">
        <v>404</v>
      </c>
      <c r="S110" s="12" t="n">
        <v>1</v>
      </c>
      <c r="T110" s="12" t="n">
        <v>0</v>
      </c>
      <c r="U110" s="12" t="n">
        <v>0</v>
      </c>
      <c r="V110" s="12" t="n">
        <v>1</v>
      </c>
      <c r="W110" s="12" t="n">
        <v>0</v>
      </c>
      <c r="X110" s="12" t="s">
        <v>424</v>
      </c>
      <c r="Y110" s="12" t="s">
        <v>428</v>
      </c>
      <c r="Z110" s="12" t="n">
        <v>1</v>
      </c>
      <c r="AA110" s="12" t="n">
        <v>1</v>
      </c>
      <c r="AB110" s="12" t="n">
        <v>1</v>
      </c>
      <c r="AC110" s="12" t="n">
        <v>0</v>
      </c>
      <c r="AD110" s="12" t="n">
        <v>0</v>
      </c>
      <c r="AE110" s="12" t="n">
        <v>0</v>
      </c>
      <c r="AF110" s="12" t="n">
        <v>0</v>
      </c>
      <c r="AG110" s="12" t="n">
        <v>1</v>
      </c>
      <c r="AH110" s="12" t="n">
        <v>1</v>
      </c>
      <c r="AI110" s="12" t="n">
        <v>0</v>
      </c>
      <c r="AJ110" s="12" t="n">
        <v>0</v>
      </c>
      <c r="AK110" s="12" t="n">
        <v>0</v>
      </c>
      <c r="AL110" s="12" t="n">
        <v>0</v>
      </c>
      <c r="AM110" s="12" t="n">
        <v>0</v>
      </c>
      <c r="AN110" s="12" t="n">
        <v>0</v>
      </c>
      <c r="AO110" s="12" t="n">
        <v>1</v>
      </c>
      <c r="AP110" s="12" t="n">
        <v>1</v>
      </c>
      <c r="AQ110" s="12" t="n">
        <v>0</v>
      </c>
      <c r="AR110" s="12" t="n">
        <v>0</v>
      </c>
      <c r="AS110" s="12" t="n">
        <v>0</v>
      </c>
      <c r="AT110" s="12" t="s">
        <v>483</v>
      </c>
      <c r="AU110" s="12" t="s">
        <v>356</v>
      </c>
      <c r="AV110" s="12" t="n">
        <v>0</v>
      </c>
      <c r="AW110" s="12" t="n">
        <v>0</v>
      </c>
      <c r="AX110" s="12" t="n">
        <v>0</v>
      </c>
      <c r="AY110" s="12" t="n">
        <v>1</v>
      </c>
      <c r="AZ110" s="12" t="n">
        <v>0</v>
      </c>
      <c r="BA110" s="12" t="n">
        <v>0</v>
      </c>
      <c r="BB110" s="12" t="n">
        <v>6</v>
      </c>
      <c r="BC110" s="12" t="n">
        <v>1</v>
      </c>
      <c r="BD110" s="12" t="n">
        <v>5</v>
      </c>
      <c r="BE110" s="12" t="n">
        <v>4</v>
      </c>
      <c r="BF110" s="12" t="n">
        <v>4</v>
      </c>
      <c r="BG110" s="12" t="n">
        <v>5</v>
      </c>
      <c r="BH110" s="12" t="n">
        <v>3</v>
      </c>
      <c r="BI110" s="12" t="n">
        <v>5</v>
      </c>
      <c r="BJ110" s="12" t="n">
        <v>5</v>
      </c>
      <c r="BK110" s="12" t="n">
        <v>4</v>
      </c>
      <c r="BL110" s="12" t="n">
        <v>7</v>
      </c>
      <c r="BM110" s="12" t="n">
        <v>3</v>
      </c>
      <c r="BN110" s="12" t="n">
        <v>2</v>
      </c>
      <c r="BO110" s="12" t="n">
        <v>3</v>
      </c>
      <c r="BP110" s="12" t="n">
        <v>1</v>
      </c>
      <c r="BQ110" s="12" t="n">
        <v>6</v>
      </c>
      <c r="BR110" s="12" t="n">
        <v>4</v>
      </c>
      <c r="BS110" s="12" t="n">
        <v>5</v>
      </c>
      <c r="BT110" s="12" t="s">
        <v>1010</v>
      </c>
      <c r="BU110" s="12" t="s">
        <v>934</v>
      </c>
      <c r="BV110" s="12" t="s">
        <v>785</v>
      </c>
      <c r="BW110" s="16" t="n">
        <f aca="false">IF($R110="","",INDEX(Codes!$E$2:$E$108,MATCH("B1|"&amp;$R110,Codes!$A$2:$A$108,0)))</f>
        <v>6</v>
      </c>
      <c r="BX110" s="16" t="n">
        <f aca="false">IF($Y110="","",INDEX(Codes!$E$2:$E$108,MATCH("B4|"&amp;$Y110,Codes!$A$2:$A$108,0)))</f>
        <v>1</v>
      </c>
      <c r="BY110" s="16" t="n">
        <f aca="false">IF($I110="","",INDEX(Codes!$E$2:$E$108,MATCH("A7|"&amp;$I110,Codes!$A$2:$A$108,0)))</f>
        <v>2</v>
      </c>
      <c r="BZ110" s="16" t="n">
        <f aca="false">IF($AU110="","",INDEX(Codes!$E$2:$E$108,MATCH("B8|"&amp;$AU110,Codes!$A$2:$A$108,0)))</f>
        <v>0</v>
      </c>
      <c r="CA110" s="16" t="n">
        <f aca="false">IF($H110="","",INDEX(Codes!$E$2:$E$108,MATCH("A6|"&amp;$H110,Codes!$A$2:$A$108,0)))</f>
        <v>5</v>
      </c>
      <c r="CB110" s="16" t="n">
        <f aca="false">IF($X110="","",IF($X110="phone",1,0))</f>
        <v>1</v>
      </c>
      <c r="CC110" s="16" t="n">
        <f aca="false">IF($BC110="","",8-$BC110)</f>
        <v>7</v>
      </c>
      <c r="CD110" s="12" t="s">
        <v>643</v>
      </c>
      <c r="CE110" s="12" t="n">
        <v>-3.948</v>
      </c>
      <c r="CF110" s="12" t="n">
        <v>0.046</v>
      </c>
    </row>
    <row r="111" customFormat="false" ht="15" hidden="false" customHeight="false" outlineLevel="0" collapsed="false">
      <c r="A111" s="12" t="s">
        <v>1011</v>
      </c>
      <c r="B111" s="12" t="s">
        <v>1012</v>
      </c>
      <c r="C111" s="12" t="s">
        <v>286</v>
      </c>
      <c r="D111" s="12" t="s">
        <v>295</v>
      </c>
      <c r="E111" s="12" t="s">
        <v>305</v>
      </c>
      <c r="F111" s="12" t="s">
        <v>330</v>
      </c>
      <c r="G111" s="12" t="s">
        <v>339</v>
      </c>
      <c r="H111" s="12" t="s">
        <v>343</v>
      </c>
      <c r="I111" s="12" t="s">
        <v>356</v>
      </c>
      <c r="J111" s="12" t="n">
        <v>1</v>
      </c>
      <c r="K111" s="12" t="n">
        <v>0</v>
      </c>
      <c r="L111" s="12" t="n">
        <v>0</v>
      </c>
      <c r="M111" s="12" t="n">
        <v>0</v>
      </c>
      <c r="N111" s="12" t="n">
        <v>0</v>
      </c>
      <c r="O111" s="12" t="n">
        <v>0</v>
      </c>
      <c r="P111" s="12" t="n">
        <v>0</v>
      </c>
      <c r="Q111" s="12" t="n">
        <v>2</v>
      </c>
      <c r="R111" s="12" t="s">
        <v>390</v>
      </c>
      <c r="S111" s="12" t="n">
        <v>0</v>
      </c>
      <c r="T111" s="12" t="n">
        <v>1</v>
      </c>
      <c r="U111" s="12" t="n">
        <v>0</v>
      </c>
      <c r="V111" s="12" t="n">
        <v>0</v>
      </c>
      <c r="W111" s="12" t="n">
        <v>0</v>
      </c>
      <c r="X111" s="12" t="s">
        <v>407</v>
      </c>
      <c r="Y111" s="12" t="s">
        <v>434</v>
      </c>
      <c r="Z111" s="12" t="n">
        <v>0</v>
      </c>
      <c r="AA111" s="12" t="n">
        <v>0</v>
      </c>
      <c r="AB111" s="12" t="n">
        <v>0</v>
      </c>
      <c r="AC111" s="12" t="n">
        <v>1</v>
      </c>
      <c r="AD111" s="12" t="n">
        <v>1</v>
      </c>
      <c r="AE111" s="12" t="n">
        <v>0</v>
      </c>
      <c r="AF111" s="12" t="n">
        <v>0</v>
      </c>
      <c r="AG111" s="12" t="n">
        <v>0</v>
      </c>
      <c r="AH111" s="12" t="n">
        <v>0</v>
      </c>
      <c r="AI111" s="12" t="n">
        <v>0</v>
      </c>
      <c r="AJ111" s="12" t="n">
        <v>1</v>
      </c>
      <c r="AK111" s="12" t="n">
        <v>0</v>
      </c>
      <c r="AL111" s="12" t="n">
        <v>0</v>
      </c>
      <c r="AM111" s="12" t="n">
        <v>0</v>
      </c>
      <c r="AN111" s="12" t="n">
        <v>0</v>
      </c>
      <c r="AO111" s="12" t="n">
        <v>0</v>
      </c>
      <c r="AP111" s="12" t="n">
        <v>0</v>
      </c>
      <c r="AQ111" s="12" t="n">
        <v>0</v>
      </c>
      <c r="AR111" s="12" t="n">
        <v>1</v>
      </c>
      <c r="AS111" s="12" t="n">
        <v>0</v>
      </c>
      <c r="AT111" s="12" t="s">
        <v>510</v>
      </c>
      <c r="AU111" s="12" t="s">
        <v>398</v>
      </c>
      <c r="AV111" s="12" t="n">
        <v>1</v>
      </c>
      <c r="AW111" s="12" t="n">
        <v>1</v>
      </c>
      <c r="AX111" s="12" t="n">
        <v>0</v>
      </c>
      <c r="AY111" s="12" t="n">
        <v>0</v>
      </c>
      <c r="AZ111" s="12" t="n">
        <v>1</v>
      </c>
      <c r="BA111" s="12" t="n">
        <v>0</v>
      </c>
      <c r="BB111" s="12" t="n">
        <v>2</v>
      </c>
      <c r="BC111" s="12" t="n">
        <v>7</v>
      </c>
      <c r="BD111" s="12" t="n">
        <v>4</v>
      </c>
      <c r="BE111" s="12" t="n">
        <v>5</v>
      </c>
      <c r="BF111" s="12" t="n">
        <v>5</v>
      </c>
      <c r="BG111" s="12" t="n">
        <v>6</v>
      </c>
      <c r="BH111" s="12" t="n">
        <v>4</v>
      </c>
      <c r="BI111" s="12" t="n">
        <v>1</v>
      </c>
      <c r="BJ111" s="12" t="n">
        <v>5</v>
      </c>
      <c r="BK111" s="12" t="n">
        <v>4</v>
      </c>
      <c r="BL111" s="12" t="n">
        <v>2</v>
      </c>
      <c r="BM111" s="12" t="n">
        <v>1</v>
      </c>
      <c r="BN111" s="12" t="n">
        <v>1</v>
      </c>
      <c r="BO111" s="12" t="n">
        <v>3</v>
      </c>
      <c r="BP111" s="12" t="n">
        <v>4</v>
      </c>
      <c r="BQ111" s="12" t="n">
        <v>2</v>
      </c>
      <c r="BR111" s="12" t="n">
        <v>5</v>
      </c>
      <c r="BS111" s="12" t="n">
        <v>6</v>
      </c>
      <c r="BT111" s="12" t="s">
        <v>1013</v>
      </c>
      <c r="BU111" s="12" t="s">
        <v>1014</v>
      </c>
      <c r="BV111" s="12" t="s">
        <v>1015</v>
      </c>
      <c r="BW111" s="16" t="n">
        <f aca="false">IF($R111="","",INDEX(Codes!$E$2:$E$108,MATCH("B1|"&amp;$R111,Codes!$A$2:$A$108,0)))</f>
        <v>1</v>
      </c>
      <c r="BX111" s="16" t="n">
        <f aca="false">IF($Y111="","",INDEX(Codes!$E$2:$E$108,MATCH("B4|"&amp;$Y111,Codes!$A$2:$A$108,0)))</f>
        <v>3</v>
      </c>
      <c r="BY111" s="16" t="n">
        <f aca="false">IF($I111="","",INDEX(Codes!$E$2:$E$108,MATCH("A7|"&amp;$I111,Codes!$A$2:$A$108,0)))</f>
        <v>0</v>
      </c>
      <c r="BZ111" s="16" t="n">
        <f aca="false">IF($AU111="","",INDEX(Codes!$E$2:$E$108,MATCH("B8|"&amp;$AU111,Codes!$A$2:$A$108,0)))</f>
        <v>3</v>
      </c>
      <c r="CA111" s="16" t="n">
        <f aca="false">IF($H111="","",INDEX(Codes!$E$2:$E$108,MATCH("A6|"&amp;$H111,Codes!$A$2:$A$108,0)))</f>
        <v>1</v>
      </c>
      <c r="CB111" s="16" t="n">
        <f aca="false">IF($X111="","",IF($X111="phone",1,0))</f>
        <v>0</v>
      </c>
      <c r="CC111" s="16" t="n">
        <f aca="false">IF($BC111="","",8-$BC111)</f>
        <v>1</v>
      </c>
      <c r="CD111" s="12" t="s">
        <v>631</v>
      </c>
      <c r="CE111" s="12" t="n">
        <v>3.669</v>
      </c>
      <c r="CF111" s="12" t="n">
        <v>-3.088</v>
      </c>
    </row>
    <row r="112" customFormat="false" ht="15" hidden="false" customHeight="false" outlineLevel="0" collapsed="false">
      <c r="A112" s="12" t="s">
        <v>1016</v>
      </c>
      <c r="B112" s="12" t="s">
        <v>1017</v>
      </c>
      <c r="C112" s="12" t="s">
        <v>280</v>
      </c>
      <c r="D112" s="12" t="s">
        <v>295</v>
      </c>
      <c r="E112" s="12" t="s">
        <v>308</v>
      </c>
      <c r="F112" s="12" t="s">
        <v>318</v>
      </c>
      <c r="G112" s="12" t="s">
        <v>333</v>
      </c>
      <c r="H112" s="12" t="s">
        <v>347</v>
      </c>
      <c r="I112" s="12" t="s">
        <v>356</v>
      </c>
      <c r="J112" s="12" t="n">
        <v>1</v>
      </c>
      <c r="K112" s="12" t="n">
        <v>0</v>
      </c>
      <c r="L112" s="12" t="n">
        <v>0</v>
      </c>
      <c r="M112" s="12" t="n">
        <v>0</v>
      </c>
      <c r="N112" s="12" t="n">
        <v>0</v>
      </c>
      <c r="O112" s="12" t="n">
        <v>0</v>
      </c>
      <c r="P112" s="12" t="n">
        <v>0</v>
      </c>
      <c r="Q112" s="12" t="n">
        <v>3</v>
      </c>
      <c r="R112" s="12" t="s">
        <v>343</v>
      </c>
      <c r="S112" s="12" t="n">
        <v>1</v>
      </c>
      <c r="T112" s="12" t="n">
        <v>0</v>
      </c>
      <c r="U112" s="12" t="n">
        <v>0</v>
      </c>
      <c r="V112" s="12" t="n">
        <v>0</v>
      </c>
      <c r="W112" s="12" t="n">
        <v>1</v>
      </c>
      <c r="X112" s="12" t="s">
        <v>407</v>
      </c>
      <c r="Y112" s="12" t="s">
        <v>434</v>
      </c>
      <c r="Z112" s="12" t="n">
        <v>1</v>
      </c>
      <c r="AA112" s="12" t="n">
        <v>1</v>
      </c>
      <c r="AB112" s="12" t="n">
        <v>0</v>
      </c>
      <c r="AC112" s="12" t="n">
        <v>1</v>
      </c>
      <c r="AD112" s="12" t="n">
        <v>0</v>
      </c>
      <c r="AE112" s="12" t="n">
        <v>1</v>
      </c>
      <c r="AF112" s="12" t="n">
        <v>0</v>
      </c>
      <c r="AG112" s="12" t="n">
        <v>0</v>
      </c>
      <c r="AH112" s="12" t="n">
        <v>0</v>
      </c>
      <c r="AI112" s="12" t="n">
        <v>0</v>
      </c>
      <c r="AJ112" s="12" t="n">
        <v>0</v>
      </c>
      <c r="AK112" s="12" t="n">
        <v>0</v>
      </c>
      <c r="AL112" s="12" t="n">
        <v>0</v>
      </c>
      <c r="AM112" s="12" t="n">
        <v>0</v>
      </c>
      <c r="AN112" s="12" t="n">
        <v>0</v>
      </c>
      <c r="AO112" s="12" t="n">
        <v>0</v>
      </c>
      <c r="AP112" s="12" t="n">
        <v>0</v>
      </c>
      <c r="AQ112" s="12" t="n">
        <v>0</v>
      </c>
      <c r="AR112" s="12" t="n">
        <v>1</v>
      </c>
      <c r="AS112" s="12" t="n">
        <v>0</v>
      </c>
      <c r="AT112" s="12" t="s">
        <v>480</v>
      </c>
      <c r="AU112" s="12" t="s">
        <v>343</v>
      </c>
      <c r="AV112" s="12" t="n">
        <v>1</v>
      </c>
      <c r="AW112" s="12" t="n">
        <v>1</v>
      </c>
      <c r="AX112" s="12" t="n">
        <v>0</v>
      </c>
      <c r="AY112" s="12" t="n">
        <v>0</v>
      </c>
      <c r="AZ112" s="12" t="n">
        <v>1</v>
      </c>
      <c r="BA112" s="12" t="n">
        <v>0</v>
      </c>
      <c r="BB112" s="12" t="n">
        <v>4</v>
      </c>
      <c r="BC112" s="12" t="n">
        <v>4</v>
      </c>
      <c r="BD112" s="12" t="n">
        <v>4</v>
      </c>
      <c r="BE112" s="12" t="n">
        <v>4</v>
      </c>
      <c r="BF112" s="12" t="n">
        <v>5</v>
      </c>
      <c r="BG112" s="12" t="n">
        <v>4</v>
      </c>
      <c r="BH112" s="12" t="n">
        <v>4</v>
      </c>
      <c r="BI112" s="12" t="n">
        <v>3</v>
      </c>
      <c r="BJ112" s="12" t="n">
        <v>5</v>
      </c>
      <c r="BK112" s="12" t="n">
        <v>2</v>
      </c>
      <c r="BL112" s="12" t="n">
        <v>3</v>
      </c>
      <c r="BM112" s="12" t="n">
        <v>2</v>
      </c>
      <c r="BN112" s="12" t="n">
        <v>1</v>
      </c>
      <c r="BO112" s="12" t="n">
        <v>2</v>
      </c>
      <c r="BP112" s="12" t="n">
        <v>4</v>
      </c>
      <c r="BQ112" s="12" t="n">
        <v>3</v>
      </c>
      <c r="BR112" s="12" t="n">
        <v>5</v>
      </c>
      <c r="BS112" s="12" t="n">
        <v>6</v>
      </c>
      <c r="BT112" s="12" t="s">
        <v>1018</v>
      </c>
      <c r="BU112" s="12" t="s">
        <v>652</v>
      </c>
      <c r="BV112" s="12"/>
      <c r="BW112" s="16" t="n">
        <f aca="false">IF($R112="","",INDEX(Codes!$E$2:$E$108,MATCH("B1|"&amp;$R112,Codes!$A$2:$A$108,0)))</f>
        <v>2</v>
      </c>
      <c r="BX112" s="16" t="n">
        <f aca="false">IF($Y112="","",INDEX(Codes!$E$2:$E$108,MATCH("B4|"&amp;$Y112,Codes!$A$2:$A$108,0)))</f>
        <v>3</v>
      </c>
      <c r="BY112" s="16" t="n">
        <f aca="false">IF($I112="","",INDEX(Codes!$E$2:$E$108,MATCH("A7|"&amp;$I112,Codes!$A$2:$A$108,0)))</f>
        <v>0</v>
      </c>
      <c r="BZ112" s="16" t="n">
        <f aca="false">IF($AU112="","",INDEX(Codes!$E$2:$E$108,MATCH("B8|"&amp;$AU112,Codes!$A$2:$A$108,0)))</f>
        <v>1</v>
      </c>
      <c r="CA112" s="16" t="n">
        <f aca="false">IF($H112="","",INDEX(Codes!$E$2:$E$108,MATCH("A6|"&amp;$H112,Codes!$A$2:$A$108,0)))</f>
        <v>3</v>
      </c>
      <c r="CB112" s="16" t="n">
        <f aca="false">IF($X112="","",IF($X112="phone",1,0))</f>
        <v>0</v>
      </c>
      <c r="CC112" s="16" t="n">
        <f aca="false">IF($BC112="","",8-$BC112)</f>
        <v>4</v>
      </c>
      <c r="CD112" s="12" t="s">
        <v>631</v>
      </c>
      <c r="CE112" s="12" t="n">
        <v>1.98</v>
      </c>
      <c r="CF112" s="12" t="n">
        <v>-1.648</v>
      </c>
    </row>
    <row r="113" customFormat="false" ht="15" hidden="false" customHeight="false" outlineLevel="0" collapsed="false">
      <c r="A113" s="12" t="s">
        <v>1019</v>
      </c>
      <c r="B113" s="12" t="s">
        <v>1020</v>
      </c>
      <c r="C113" s="12" t="s">
        <v>271</v>
      </c>
      <c r="D113" s="12" t="s">
        <v>291</v>
      </c>
      <c r="E113" s="12" t="s">
        <v>305</v>
      </c>
      <c r="F113" s="12" t="s">
        <v>315</v>
      </c>
      <c r="G113" s="12" t="s">
        <v>333</v>
      </c>
      <c r="H113" s="12" t="s">
        <v>349</v>
      </c>
      <c r="I113" s="12" t="s">
        <v>359</v>
      </c>
      <c r="J113" s="12" t="n">
        <v>1</v>
      </c>
      <c r="K113" s="12" t="n">
        <v>0</v>
      </c>
      <c r="L113" s="12" t="n">
        <v>0</v>
      </c>
      <c r="M113" s="12" t="n">
        <v>0</v>
      </c>
      <c r="N113" s="12" t="n">
        <v>0</v>
      </c>
      <c r="O113" s="12" t="n">
        <v>0</v>
      </c>
      <c r="P113" s="12" t="n">
        <v>0</v>
      </c>
      <c r="Q113" s="12" t="n">
        <v>5</v>
      </c>
      <c r="R113" s="12" t="s">
        <v>398</v>
      </c>
      <c r="S113" s="12" t="n">
        <v>1</v>
      </c>
      <c r="T113" s="12" t="n">
        <v>0</v>
      </c>
      <c r="U113" s="12" t="n">
        <v>1</v>
      </c>
      <c r="V113" s="12" t="n">
        <v>1</v>
      </c>
      <c r="W113" s="12" t="n">
        <v>1</v>
      </c>
      <c r="X113" s="12" t="s">
        <v>407</v>
      </c>
      <c r="Y113" s="12" t="s">
        <v>434</v>
      </c>
      <c r="Z113" s="12" t="n">
        <v>0</v>
      </c>
      <c r="AA113" s="12" t="n">
        <v>1</v>
      </c>
      <c r="AB113" s="12" t="n">
        <v>0</v>
      </c>
      <c r="AC113" s="12" t="n">
        <v>0</v>
      </c>
      <c r="AD113" s="12" t="n">
        <v>1</v>
      </c>
      <c r="AE113" s="12" t="n">
        <v>0</v>
      </c>
      <c r="AF113" s="12" t="n">
        <v>0</v>
      </c>
      <c r="AG113" s="12" t="n">
        <v>1</v>
      </c>
      <c r="AH113" s="12" t="n">
        <v>0</v>
      </c>
      <c r="AI113" s="12" t="n">
        <v>0</v>
      </c>
      <c r="AJ113" s="12" t="n">
        <v>0</v>
      </c>
      <c r="AK113" s="12" t="n">
        <v>0</v>
      </c>
      <c r="AL113" s="12" t="n">
        <v>0</v>
      </c>
      <c r="AM113" s="12" t="n">
        <v>0</v>
      </c>
      <c r="AN113" s="12" t="n">
        <v>1</v>
      </c>
      <c r="AO113" s="12" t="n">
        <v>0</v>
      </c>
      <c r="AP113" s="12" t="n">
        <v>1</v>
      </c>
      <c r="AQ113" s="12" t="n">
        <v>0</v>
      </c>
      <c r="AR113" s="12" t="n">
        <v>0</v>
      </c>
      <c r="AS113" s="12" t="n">
        <v>1</v>
      </c>
      <c r="AT113" s="12" t="s">
        <v>483</v>
      </c>
      <c r="AU113" s="12" t="s">
        <v>356</v>
      </c>
      <c r="AV113" s="12" t="n">
        <v>0</v>
      </c>
      <c r="AW113" s="12" t="n">
        <v>0</v>
      </c>
      <c r="AX113" s="12" t="n">
        <v>0</v>
      </c>
      <c r="AY113" s="12" t="n">
        <v>1</v>
      </c>
      <c r="AZ113" s="12" t="n">
        <v>0</v>
      </c>
      <c r="BA113" s="12" t="n">
        <v>0</v>
      </c>
      <c r="BB113" s="12" t="n">
        <v>4</v>
      </c>
      <c r="BC113" s="12" t="n">
        <v>3</v>
      </c>
      <c r="BD113" s="12" t="n">
        <v>3</v>
      </c>
      <c r="BE113" s="12" t="n">
        <v>5</v>
      </c>
      <c r="BF113" s="12" t="n">
        <v>2</v>
      </c>
      <c r="BG113" s="12" t="n">
        <v>4</v>
      </c>
      <c r="BH113" s="12" t="n">
        <v>3</v>
      </c>
      <c r="BI113" s="12" t="n">
        <v>6</v>
      </c>
      <c r="BJ113" s="12" t="n">
        <v>6</v>
      </c>
      <c r="BK113" s="12" t="n">
        <v>5</v>
      </c>
      <c r="BL113" s="12" t="n">
        <v>5</v>
      </c>
      <c r="BM113" s="12" t="n">
        <v>3</v>
      </c>
      <c r="BN113" s="12" t="n">
        <v>3</v>
      </c>
      <c r="BO113" s="12" t="n">
        <v>2</v>
      </c>
      <c r="BP113" s="12" t="n">
        <v>1</v>
      </c>
      <c r="BQ113" s="12" t="n">
        <v>4</v>
      </c>
      <c r="BR113" s="12" t="n">
        <v>6</v>
      </c>
      <c r="BS113" s="12" t="n">
        <v>5</v>
      </c>
      <c r="BT113" s="12" t="s">
        <v>1021</v>
      </c>
      <c r="BU113" s="12"/>
      <c r="BV113" s="12" t="s">
        <v>916</v>
      </c>
      <c r="BW113" s="16" t="n">
        <f aca="false">IF($R113="","",INDEX(Codes!$E$2:$E$108,MATCH("B1|"&amp;$R113,Codes!$A$2:$A$108,0)))</f>
        <v>4</v>
      </c>
      <c r="BX113" s="16" t="n">
        <f aca="false">IF($Y113="","",INDEX(Codes!$E$2:$E$108,MATCH("B4|"&amp;$Y113,Codes!$A$2:$A$108,0)))</f>
        <v>3</v>
      </c>
      <c r="BY113" s="16" t="n">
        <f aca="false">IF($I113="","",INDEX(Codes!$E$2:$E$108,MATCH("A7|"&amp;$I113,Codes!$A$2:$A$108,0)))</f>
        <v>1</v>
      </c>
      <c r="BZ113" s="16" t="n">
        <f aca="false">IF($AU113="","",INDEX(Codes!$E$2:$E$108,MATCH("B8|"&amp;$AU113,Codes!$A$2:$A$108,0)))</f>
        <v>0</v>
      </c>
      <c r="CA113" s="16" t="n">
        <f aca="false">IF($H113="","",INDEX(Codes!$E$2:$E$108,MATCH("A6|"&amp;$H113,Codes!$A$2:$A$108,0)))</f>
        <v>4</v>
      </c>
      <c r="CB113" s="16" t="n">
        <f aca="false">IF($X113="","",IF($X113="phone",1,0))</f>
        <v>0</v>
      </c>
      <c r="CC113" s="16" t="n">
        <f aca="false">IF($BC113="","",8-$BC113)</f>
        <v>5</v>
      </c>
      <c r="CD113" s="12" t="s">
        <v>643</v>
      </c>
      <c r="CE113" s="12" t="n">
        <v>-2.218</v>
      </c>
      <c r="CF113" s="12" t="n">
        <v>-0.195</v>
      </c>
    </row>
    <row r="114" customFormat="false" ht="15" hidden="false" customHeight="false" outlineLevel="0" collapsed="false">
      <c r="A114" s="12" t="s">
        <v>1022</v>
      </c>
      <c r="B114" s="12" t="s">
        <v>1023</v>
      </c>
      <c r="C114" s="12" t="s">
        <v>274</v>
      </c>
      <c r="D114" s="12" t="s">
        <v>291</v>
      </c>
      <c r="E114" s="12" t="s">
        <v>308</v>
      </c>
      <c r="F114" s="12" t="s">
        <v>318</v>
      </c>
      <c r="G114" s="12" t="s">
        <v>333</v>
      </c>
      <c r="H114" s="12" t="s">
        <v>347</v>
      </c>
      <c r="I114" s="12" t="s">
        <v>365</v>
      </c>
      <c r="J114" s="12" t="n">
        <v>1</v>
      </c>
      <c r="K114" s="12" t="n">
        <v>0</v>
      </c>
      <c r="L114" s="12" t="n">
        <v>0</v>
      </c>
      <c r="M114" s="12" t="n">
        <v>0</v>
      </c>
      <c r="N114" s="12" t="n">
        <v>0</v>
      </c>
      <c r="O114" s="12" t="n">
        <v>0</v>
      </c>
      <c r="P114" s="12" t="n">
        <v>0</v>
      </c>
      <c r="Q114" s="12" t="n">
        <v>6</v>
      </c>
      <c r="R114" s="12" t="s">
        <v>343</v>
      </c>
      <c r="S114" s="12" t="n">
        <v>1</v>
      </c>
      <c r="T114" s="12" t="n">
        <v>0</v>
      </c>
      <c r="U114" s="12" t="n">
        <v>0</v>
      </c>
      <c r="V114" s="12" t="n">
        <v>0</v>
      </c>
      <c r="W114" s="12" t="n">
        <v>0</v>
      </c>
      <c r="X114" s="12" t="s">
        <v>407</v>
      </c>
      <c r="Y114" s="12" t="s">
        <v>434</v>
      </c>
      <c r="Z114" s="12" t="n">
        <v>1</v>
      </c>
      <c r="AA114" s="12" t="n">
        <v>0</v>
      </c>
      <c r="AB114" s="12" t="n">
        <v>0</v>
      </c>
      <c r="AC114" s="12" t="n">
        <v>0</v>
      </c>
      <c r="AD114" s="12" t="n">
        <v>0</v>
      </c>
      <c r="AE114" s="12" t="n">
        <v>0</v>
      </c>
      <c r="AF114" s="12" t="n">
        <v>0</v>
      </c>
      <c r="AG114" s="12" t="n">
        <v>0</v>
      </c>
      <c r="AH114" s="12" t="n">
        <v>0</v>
      </c>
      <c r="AI114" s="12" t="n">
        <v>0</v>
      </c>
      <c r="AJ114" s="12" t="n">
        <v>1</v>
      </c>
      <c r="AK114" s="12" t="n">
        <v>0</v>
      </c>
      <c r="AL114" s="12" t="n">
        <v>0</v>
      </c>
      <c r="AM114" s="12" t="n">
        <v>1</v>
      </c>
      <c r="AN114" s="12" t="n">
        <v>0</v>
      </c>
      <c r="AO114" s="12" t="n">
        <v>0</v>
      </c>
      <c r="AP114" s="12" t="n">
        <v>0</v>
      </c>
      <c r="AQ114" s="12" t="n">
        <v>0</v>
      </c>
      <c r="AR114" s="12" t="n">
        <v>1</v>
      </c>
      <c r="AS114" s="12" t="n">
        <v>0</v>
      </c>
      <c r="AT114" s="12" t="s">
        <v>480</v>
      </c>
      <c r="AU114" s="12" t="s">
        <v>395</v>
      </c>
      <c r="AV114" s="12" t="n">
        <v>0</v>
      </c>
      <c r="AW114" s="12" t="n">
        <v>1</v>
      </c>
      <c r="AX114" s="12" t="n">
        <v>1</v>
      </c>
      <c r="AY114" s="12" t="n">
        <v>1</v>
      </c>
      <c r="AZ114" s="12" t="n">
        <v>0</v>
      </c>
      <c r="BA114" s="12" t="n">
        <v>0</v>
      </c>
      <c r="BB114" s="12" t="n">
        <v>4</v>
      </c>
      <c r="BC114" s="12" t="n">
        <v>3</v>
      </c>
      <c r="BD114" s="12" t="n">
        <v>4</v>
      </c>
      <c r="BE114" s="12" t="n">
        <v>6</v>
      </c>
      <c r="BF114" s="12" t="n">
        <v>2</v>
      </c>
      <c r="BG114" s="12" t="n">
        <v>2</v>
      </c>
      <c r="BH114" s="12" t="n">
        <v>3</v>
      </c>
      <c r="BI114" s="12" t="n">
        <v>4</v>
      </c>
      <c r="BJ114" s="12" t="n">
        <v>5</v>
      </c>
      <c r="BK114" s="12" t="n">
        <v>2</v>
      </c>
      <c r="BL114" s="12" t="n">
        <v>1</v>
      </c>
      <c r="BM114" s="12" t="n">
        <v>5</v>
      </c>
      <c r="BN114" s="12" t="n">
        <v>2</v>
      </c>
      <c r="BO114" s="12" t="n">
        <v>1</v>
      </c>
      <c r="BP114" s="12" t="n">
        <v>4</v>
      </c>
      <c r="BQ114" s="12" t="n">
        <v>5</v>
      </c>
      <c r="BR114" s="12" t="n">
        <v>3</v>
      </c>
      <c r="BS114" s="12" t="n">
        <v>6</v>
      </c>
      <c r="BT114" s="12" t="s">
        <v>1024</v>
      </c>
      <c r="BU114" s="12" t="s">
        <v>674</v>
      </c>
      <c r="BV114" s="12"/>
      <c r="BW114" s="16" t="n">
        <f aca="false">IF($R114="","",INDEX(Codes!$E$2:$E$108,MATCH("B1|"&amp;$R114,Codes!$A$2:$A$108,0)))</f>
        <v>2</v>
      </c>
      <c r="BX114" s="16" t="n">
        <f aca="false">IF($Y114="","",INDEX(Codes!$E$2:$E$108,MATCH("B4|"&amp;$Y114,Codes!$A$2:$A$108,0)))</f>
        <v>3</v>
      </c>
      <c r="BY114" s="16" t="n">
        <f aca="false">IF($I114="","",INDEX(Codes!$E$2:$E$108,MATCH("A7|"&amp;$I114,Codes!$A$2:$A$108,0)))</f>
        <v>3</v>
      </c>
      <c r="BZ114" s="16" t="n">
        <f aca="false">IF($AU114="","",INDEX(Codes!$E$2:$E$108,MATCH("B8|"&amp;$AU114,Codes!$A$2:$A$108,0)))</f>
        <v>2</v>
      </c>
      <c r="CA114" s="16" t="n">
        <f aca="false">IF($H114="","",INDEX(Codes!$E$2:$E$108,MATCH("A6|"&amp;$H114,Codes!$A$2:$A$108,0)))</f>
        <v>3</v>
      </c>
      <c r="CB114" s="16" t="n">
        <f aca="false">IF($X114="","",IF($X114="phone",1,0))</f>
        <v>0</v>
      </c>
      <c r="CC114" s="16" t="n">
        <f aca="false">IF($BC114="","",8-$BC114)</f>
        <v>5</v>
      </c>
      <c r="CD114" s="12" t="s">
        <v>648</v>
      </c>
      <c r="CE114" s="12" t="n">
        <v>1.027</v>
      </c>
      <c r="CF114" s="12" t="n">
        <v>-1.48</v>
      </c>
    </row>
    <row r="115" customFormat="false" ht="15" hidden="false" customHeight="false" outlineLevel="0" collapsed="false">
      <c r="A115" s="12" t="s">
        <v>1025</v>
      </c>
      <c r="B115" s="12" t="s">
        <v>1026</v>
      </c>
      <c r="C115" s="12" t="s">
        <v>274</v>
      </c>
      <c r="D115" s="12" t="s">
        <v>291</v>
      </c>
      <c r="E115" s="12" t="s">
        <v>308</v>
      </c>
      <c r="F115" s="12" t="s">
        <v>324</v>
      </c>
      <c r="G115" s="12" t="s">
        <v>333</v>
      </c>
      <c r="H115" s="12" t="s">
        <v>345</v>
      </c>
      <c r="I115" s="12" t="s">
        <v>362</v>
      </c>
      <c r="J115" s="12" t="n">
        <v>0</v>
      </c>
      <c r="K115" s="12" t="n">
        <v>0</v>
      </c>
      <c r="L115" s="12" t="n">
        <v>1</v>
      </c>
      <c r="M115" s="12" t="n">
        <v>0</v>
      </c>
      <c r="N115" s="12" t="n">
        <v>0</v>
      </c>
      <c r="O115" s="12" t="n">
        <v>0</v>
      </c>
      <c r="P115" s="12" t="n">
        <v>0</v>
      </c>
      <c r="Q115" s="12" t="n">
        <v>6</v>
      </c>
      <c r="R115" s="12" t="s">
        <v>401</v>
      </c>
      <c r="S115" s="12" t="n">
        <v>1</v>
      </c>
      <c r="T115" s="12" t="n">
        <v>0</v>
      </c>
      <c r="U115" s="12" t="n">
        <v>0</v>
      </c>
      <c r="V115" s="12" t="n">
        <v>1</v>
      </c>
      <c r="W115" s="12" t="n">
        <v>0</v>
      </c>
      <c r="X115" s="12" t="s">
        <v>407</v>
      </c>
      <c r="Y115" s="12" t="s">
        <v>440</v>
      </c>
      <c r="Z115" s="12" t="n">
        <v>1</v>
      </c>
      <c r="AA115" s="12" t="n">
        <v>1</v>
      </c>
      <c r="AB115" s="12" t="n">
        <v>0</v>
      </c>
      <c r="AC115" s="12" t="n">
        <v>1</v>
      </c>
      <c r="AD115" s="12" t="n">
        <v>1</v>
      </c>
      <c r="AE115" s="12" t="n">
        <v>0</v>
      </c>
      <c r="AF115" s="12" t="n">
        <v>0</v>
      </c>
      <c r="AG115" s="12" t="n">
        <v>0</v>
      </c>
      <c r="AH115" s="12" t="n">
        <v>1</v>
      </c>
      <c r="AI115" s="12" t="n">
        <v>0</v>
      </c>
      <c r="AJ115" s="12" t="n">
        <v>0</v>
      </c>
      <c r="AK115" s="12" t="n">
        <v>0</v>
      </c>
      <c r="AL115" s="12" t="n">
        <v>1</v>
      </c>
      <c r="AM115" s="12" t="n">
        <v>0</v>
      </c>
      <c r="AN115" s="12" t="n">
        <v>0</v>
      </c>
      <c r="AO115" s="12" t="n">
        <v>0</v>
      </c>
      <c r="AP115" s="12" t="n">
        <v>0</v>
      </c>
      <c r="AQ115" s="12" t="n">
        <v>0</v>
      </c>
      <c r="AR115" s="12" t="n">
        <v>0</v>
      </c>
      <c r="AS115" s="12" t="n">
        <v>0</v>
      </c>
      <c r="AT115" s="12" t="s">
        <v>480</v>
      </c>
      <c r="AU115" s="12" t="s">
        <v>398</v>
      </c>
      <c r="AV115" s="12" t="n">
        <v>0</v>
      </c>
      <c r="AW115" s="12" t="n">
        <v>1</v>
      </c>
      <c r="AX115" s="12" t="n">
        <v>1</v>
      </c>
      <c r="AY115" s="12" t="n">
        <v>1</v>
      </c>
      <c r="AZ115" s="12" t="n">
        <v>0</v>
      </c>
      <c r="BA115" s="12" t="n">
        <v>0</v>
      </c>
      <c r="BB115" s="12" t="n">
        <v>3</v>
      </c>
      <c r="BC115" s="12" t="n">
        <v>4</v>
      </c>
      <c r="BD115" s="12" t="n">
        <v>3</v>
      </c>
      <c r="BE115" s="12" t="n">
        <v>5</v>
      </c>
      <c r="BF115" s="12" t="n">
        <v>2</v>
      </c>
      <c r="BG115" s="12" t="n">
        <v>1</v>
      </c>
      <c r="BH115" s="12" t="n">
        <v>3</v>
      </c>
      <c r="BI115" s="12" t="n">
        <v>4</v>
      </c>
      <c r="BJ115" s="12" t="n">
        <v>1</v>
      </c>
      <c r="BK115" s="12" t="n">
        <v>4</v>
      </c>
      <c r="BL115" s="12" t="n">
        <v>2</v>
      </c>
      <c r="BM115" s="12" t="n">
        <v>2</v>
      </c>
      <c r="BN115" s="12" t="n">
        <v>1</v>
      </c>
      <c r="BO115" s="12" t="n">
        <v>3</v>
      </c>
      <c r="BP115" s="12" t="n">
        <v>4</v>
      </c>
      <c r="BQ115" s="12" t="n">
        <v>5</v>
      </c>
      <c r="BR115" s="12" t="n">
        <v>2</v>
      </c>
      <c r="BS115" s="12" t="n">
        <v>6</v>
      </c>
      <c r="BT115" s="12" t="s">
        <v>1027</v>
      </c>
      <c r="BU115" s="12" t="s">
        <v>799</v>
      </c>
      <c r="BV115" s="12" t="s">
        <v>951</v>
      </c>
      <c r="BW115" s="16" t="n">
        <f aca="false">IF($R115="","",INDEX(Codes!$E$2:$E$108,MATCH("B1|"&amp;$R115,Codes!$A$2:$A$108,0)))</f>
        <v>5</v>
      </c>
      <c r="BX115" s="16" t="n">
        <f aca="false">IF($Y115="","",INDEX(Codes!$E$2:$E$108,MATCH("B4|"&amp;$Y115,Codes!$A$2:$A$108,0)))</f>
        <v>5</v>
      </c>
      <c r="BY115" s="16" t="n">
        <f aca="false">IF($I115="","",INDEX(Codes!$E$2:$E$108,MATCH("A7|"&amp;$I115,Codes!$A$2:$A$108,0)))</f>
        <v>2</v>
      </c>
      <c r="BZ115" s="16" t="n">
        <f aca="false">IF($AU115="","",INDEX(Codes!$E$2:$E$108,MATCH("B8|"&amp;$AU115,Codes!$A$2:$A$108,0)))</f>
        <v>3</v>
      </c>
      <c r="CA115" s="16" t="n">
        <f aca="false">IF($H115="","",INDEX(Codes!$E$2:$E$108,MATCH("A6|"&amp;$H115,Codes!$A$2:$A$108,0)))</f>
        <v>2</v>
      </c>
      <c r="CB115" s="16" t="n">
        <f aca="false">IF($X115="","",IF($X115="phone",1,0))</f>
        <v>0</v>
      </c>
      <c r="CC115" s="16" t="n">
        <f aca="false">IF($BC115="","",8-$BC115)</f>
        <v>4</v>
      </c>
      <c r="CD115" s="12" t="s">
        <v>671</v>
      </c>
      <c r="CE115" s="12" t="n">
        <v>3.047</v>
      </c>
      <c r="CF115" s="12" t="n">
        <v>0.068</v>
      </c>
    </row>
    <row r="116" customFormat="false" ht="15" hidden="false" customHeight="false" outlineLevel="0" collapsed="false">
      <c r="A116" s="12" t="s">
        <v>1028</v>
      </c>
      <c r="B116" s="12" t="s">
        <v>1029</v>
      </c>
      <c r="C116" s="12" t="s">
        <v>286</v>
      </c>
      <c r="D116" s="12" t="s">
        <v>295</v>
      </c>
      <c r="E116" s="12" t="s">
        <v>311</v>
      </c>
      <c r="F116" s="12" t="s">
        <v>321</v>
      </c>
      <c r="G116" s="12" t="s">
        <v>336</v>
      </c>
      <c r="H116" s="12" t="s">
        <v>343</v>
      </c>
      <c r="I116" s="12" t="s">
        <v>359</v>
      </c>
      <c r="J116" s="12" t="n">
        <v>1</v>
      </c>
      <c r="K116" s="12" t="n">
        <v>0</v>
      </c>
      <c r="L116" s="12" t="n">
        <v>0</v>
      </c>
      <c r="M116" s="12" t="n">
        <v>0</v>
      </c>
      <c r="N116" s="12" t="n">
        <v>0</v>
      </c>
      <c r="O116" s="12" t="n">
        <v>0</v>
      </c>
      <c r="P116" s="12" t="n">
        <v>0</v>
      </c>
      <c r="Q116" s="12" t="n">
        <v>4</v>
      </c>
      <c r="R116" s="12" t="s">
        <v>404</v>
      </c>
      <c r="S116" s="12" t="n">
        <v>1</v>
      </c>
      <c r="T116" s="12" t="n">
        <v>0</v>
      </c>
      <c r="U116" s="12" t="n">
        <v>1</v>
      </c>
      <c r="V116" s="12" t="n">
        <v>0</v>
      </c>
      <c r="W116" s="12" t="n">
        <v>0</v>
      </c>
      <c r="X116" s="12" t="s">
        <v>407</v>
      </c>
      <c r="Y116" s="12" t="s">
        <v>440</v>
      </c>
      <c r="Z116" s="12" t="n">
        <v>0</v>
      </c>
      <c r="AA116" s="12" t="n">
        <v>1</v>
      </c>
      <c r="AB116" s="12" t="n">
        <v>1</v>
      </c>
      <c r="AC116" s="12" t="n">
        <v>1</v>
      </c>
      <c r="AD116" s="12" t="n">
        <v>0</v>
      </c>
      <c r="AE116" s="12" t="n">
        <v>1</v>
      </c>
      <c r="AF116" s="12" t="n">
        <v>1</v>
      </c>
      <c r="AG116" s="12" t="n">
        <v>1</v>
      </c>
      <c r="AH116" s="12" t="n">
        <v>0</v>
      </c>
      <c r="AI116" s="12" t="n">
        <v>0</v>
      </c>
      <c r="AJ116" s="12" t="n">
        <v>0</v>
      </c>
      <c r="AK116" s="12" t="n">
        <v>0</v>
      </c>
      <c r="AL116" s="12" t="n">
        <v>0</v>
      </c>
      <c r="AM116" s="12" t="n">
        <v>0</v>
      </c>
      <c r="AN116" s="12" t="n">
        <v>1</v>
      </c>
      <c r="AO116" s="12" t="n">
        <v>0</v>
      </c>
      <c r="AP116" s="12" t="n">
        <v>0</v>
      </c>
      <c r="AQ116" s="12" t="n">
        <v>1</v>
      </c>
      <c r="AR116" s="12" t="n">
        <v>1</v>
      </c>
      <c r="AS116" s="12" t="n">
        <v>1</v>
      </c>
      <c r="AT116" s="12" t="s">
        <v>480</v>
      </c>
      <c r="AU116" s="12" t="s">
        <v>356</v>
      </c>
      <c r="AV116" s="12" t="n">
        <v>0</v>
      </c>
      <c r="AW116" s="12" t="n">
        <v>1</v>
      </c>
      <c r="AX116" s="12" t="n">
        <v>1</v>
      </c>
      <c r="AY116" s="12" t="n">
        <v>0</v>
      </c>
      <c r="AZ116" s="12" t="n">
        <v>1</v>
      </c>
      <c r="BA116" s="12" t="n">
        <v>0</v>
      </c>
      <c r="BB116" s="12" t="n">
        <v>3</v>
      </c>
      <c r="BC116" s="12" t="n">
        <v>6</v>
      </c>
      <c r="BD116" s="12" t="n">
        <v>6</v>
      </c>
      <c r="BE116" s="12" t="n">
        <v>5</v>
      </c>
      <c r="BF116" s="12" t="n">
        <v>3</v>
      </c>
      <c r="BG116" s="12" t="n">
        <v>4</v>
      </c>
      <c r="BH116" s="12" t="n">
        <v>5</v>
      </c>
      <c r="BI116" s="12" t="n">
        <v>4</v>
      </c>
      <c r="BJ116" s="12" t="n">
        <v>5</v>
      </c>
      <c r="BK116" s="12" t="n">
        <v>3</v>
      </c>
      <c r="BL116" s="12" t="n">
        <v>5</v>
      </c>
      <c r="BM116" s="12" t="n">
        <v>5</v>
      </c>
      <c r="BN116" s="12" t="n">
        <v>2</v>
      </c>
      <c r="BO116" s="12" t="n">
        <v>4</v>
      </c>
      <c r="BP116" s="12" t="n">
        <v>1</v>
      </c>
      <c r="BQ116" s="12" t="n">
        <v>3</v>
      </c>
      <c r="BR116" s="12" t="n">
        <v>5</v>
      </c>
      <c r="BS116" s="12" t="n">
        <v>6</v>
      </c>
      <c r="BT116" s="12" t="s">
        <v>1030</v>
      </c>
      <c r="BU116" s="12" t="s">
        <v>1031</v>
      </c>
      <c r="BV116" s="12"/>
      <c r="BW116" s="16" t="n">
        <f aca="false">IF($R116="","",INDEX(Codes!$E$2:$E$108,MATCH("B1|"&amp;$R116,Codes!$A$2:$A$108,0)))</f>
        <v>6</v>
      </c>
      <c r="BX116" s="16" t="n">
        <f aca="false">IF($Y116="","",INDEX(Codes!$E$2:$E$108,MATCH("B4|"&amp;$Y116,Codes!$A$2:$A$108,0)))</f>
        <v>5</v>
      </c>
      <c r="BY116" s="16" t="n">
        <f aca="false">IF($I116="","",INDEX(Codes!$E$2:$E$108,MATCH("A7|"&amp;$I116,Codes!$A$2:$A$108,0)))</f>
        <v>1</v>
      </c>
      <c r="BZ116" s="16" t="n">
        <f aca="false">IF($AU116="","",INDEX(Codes!$E$2:$E$108,MATCH("B8|"&amp;$AU116,Codes!$A$2:$A$108,0)))</f>
        <v>0</v>
      </c>
      <c r="CA116" s="16" t="n">
        <f aca="false">IF($H116="","",INDEX(Codes!$E$2:$E$108,MATCH("A6|"&amp;$H116,Codes!$A$2:$A$108,0)))</f>
        <v>1</v>
      </c>
      <c r="CB116" s="16" t="n">
        <f aca="false">IF($X116="","",IF($X116="phone",1,0))</f>
        <v>0</v>
      </c>
      <c r="CC116" s="16" t="n">
        <f aca="false">IF($BC116="","",8-$BC116)</f>
        <v>2</v>
      </c>
      <c r="CD116" s="12" t="s">
        <v>614</v>
      </c>
      <c r="CE116" s="12" t="n">
        <v>-0.798</v>
      </c>
      <c r="CF116" s="12" t="n">
        <v>1.698</v>
      </c>
    </row>
    <row r="117" customFormat="false" ht="15" hidden="false" customHeight="false" outlineLevel="0" collapsed="false">
      <c r="A117" s="12" t="s">
        <v>1032</v>
      </c>
      <c r="B117" s="12" t="s">
        <v>1033</v>
      </c>
      <c r="C117" s="12" t="s">
        <v>271</v>
      </c>
      <c r="D117" s="12" t="s">
        <v>293</v>
      </c>
      <c r="E117" s="12" t="s">
        <v>308</v>
      </c>
      <c r="F117" s="12" t="s">
        <v>324</v>
      </c>
      <c r="G117" s="12" t="s">
        <v>333</v>
      </c>
      <c r="H117" s="12" t="s">
        <v>349</v>
      </c>
      <c r="I117" s="12" t="s">
        <v>365</v>
      </c>
      <c r="J117" s="12" t="n">
        <v>1</v>
      </c>
      <c r="K117" s="12" t="n">
        <v>0</v>
      </c>
      <c r="L117" s="12" t="n">
        <v>0</v>
      </c>
      <c r="M117" s="12" t="n">
        <v>0</v>
      </c>
      <c r="N117" s="12" t="n">
        <v>0</v>
      </c>
      <c r="O117" s="12" t="n">
        <v>0</v>
      </c>
      <c r="P117" s="12" t="n">
        <v>0</v>
      </c>
      <c r="Q117" s="12" t="n">
        <v>6</v>
      </c>
      <c r="R117" s="12" t="s">
        <v>401</v>
      </c>
      <c r="S117" s="12" t="n">
        <v>0</v>
      </c>
      <c r="T117" s="12" t="n">
        <v>0</v>
      </c>
      <c r="U117" s="12" t="n">
        <v>0</v>
      </c>
      <c r="V117" s="12" t="n">
        <v>1</v>
      </c>
      <c r="W117" s="12" t="n">
        <v>0</v>
      </c>
      <c r="X117" s="12" t="s">
        <v>424</v>
      </c>
      <c r="Y117" s="12" t="s">
        <v>428</v>
      </c>
      <c r="Z117" s="12" t="n">
        <v>0</v>
      </c>
      <c r="AA117" s="12" t="n">
        <v>1</v>
      </c>
      <c r="AB117" s="12" t="n">
        <v>1</v>
      </c>
      <c r="AC117" s="12" t="n">
        <v>0</v>
      </c>
      <c r="AD117" s="12" t="n">
        <v>0</v>
      </c>
      <c r="AE117" s="12" t="n">
        <v>0</v>
      </c>
      <c r="AF117" s="12" t="n">
        <v>0</v>
      </c>
      <c r="AG117" s="12" t="n">
        <v>0</v>
      </c>
      <c r="AH117" s="12" t="n">
        <v>0</v>
      </c>
      <c r="AI117" s="12" t="n">
        <v>0</v>
      </c>
      <c r="AJ117" s="12" t="n">
        <v>0</v>
      </c>
      <c r="AK117" s="12" t="n">
        <v>0</v>
      </c>
      <c r="AL117" s="12" t="n">
        <v>1</v>
      </c>
      <c r="AM117" s="12" t="n">
        <v>0</v>
      </c>
      <c r="AN117" s="12" t="n">
        <v>1</v>
      </c>
      <c r="AO117" s="12" t="n">
        <v>1</v>
      </c>
      <c r="AP117" s="12" t="n">
        <v>1</v>
      </c>
      <c r="AQ117" s="12" t="n">
        <v>0</v>
      </c>
      <c r="AR117" s="12" t="n">
        <v>0</v>
      </c>
      <c r="AS117" s="12" t="n">
        <v>0</v>
      </c>
      <c r="AT117" s="12" t="s">
        <v>483</v>
      </c>
      <c r="AU117" s="12" t="s">
        <v>343</v>
      </c>
      <c r="AV117" s="12" t="n">
        <v>0</v>
      </c>
      <c r="AW117" s="12" t="n">
        <v>0</v>
      </c>
      <c r="AX117" s="12" t="n">
        <v>0</v>
      </c>
      <c r="AY117" s="12" t="n">
        <v>1</v>
      </c>
      <c r="AZ117" s="12" t="n">
        <v>0</v>
      </c>
      <c r="BA117" s="12" t="n">
        <v>0</v>
      </c>
      <c r="BB117" s="12" t="n">
        <v>5</v>
      </c>
      <c r="BC117" s="12" t="n">
        <v>2</v>
      </c>
      <c r="BD117" s="12" t="n">
        <v>4</v>
      </c>
      <c r="BE117" s="12" t="n">
        <v>5</v>
      </c>
      <c r="BF117" s="12" t="n">
        <v>2</v>
      </c>
      <c r="BG117" s="12" t="n">
        <v>6</v>
      </c>
      <c r="BH117" s="12" t="n">
        <v>4</v>
      </c>
      <c r="BI117" s="12" t="n">
        <v>6</v>
      </c>
      <c r="BJ117" s="12" t="n">
        <v>7</v>
      </c>
      <c r="BK117" s="12" t="n">
        <v>5</v>
      </c>
      <c r="BL117" s="12" t="n">
        <v>5</v>
      </c>
      <c r="BM117" s="12" t="n">
        <v>4</v>
      </c>
      <c r="BN117" s="12" t="n">
        <v>2</v>
      </c>
      <c r="BO117" s="12" t="n">
        <v>1</v>
      </c>
      <c r="BP117" s="12" t="n">
        <v>3</v>
      </c>
      <c r="BQ117" s="12" t="n">
        <v>5</v>
      </c>
      <c r="BR117" s="12" t="n">
        <v>4</v>
      </c>
      <c r="BS117" s="12" t="n">
        <v>6</v>
      </c>
      <c r="BT117" s="12" t="s">
        <v>1034</v>
      </c>
      <c r="BU117" s="12"/>
      <c r="BV117" s="12"/>
      <c r="BW117" s="16" t="n">
        <f aca="false">IF($R117="","",INDEX(Codes!$E$2:$E$108,MATCH("B1|"&amp;$R117,Codes!$A$2:$A$108,0)))</f>
        <v>5</v>
      </c>
      <c r="BX117" s="16" t="n">
        <f aca="false">IF($Y117="","",INDEX(Codes!$E$2:$E$108,MATCH("B4|"&amp;$Y117,Codes!$A$2:$A$108,0)))</f>
        <v>1</v>
      </c>
      <c r="BY117" s="16" t="n">
        <f aca="false">IF($I117="","",INDEX(Codes!$E$2:$E$108,MATCH("A7|"&amp;$I117,Codes!$A$2:$A$108,0)))</f>
        <v>3</v>
      </c>
      <c r="BZ117" s="16" t="n">
        <f aca="false">IF($AU117="","",INDEX(Codes!$E$2:$E$108,MATCH("B8|"&amp;$AU117,Codes!$A$2:$A$108,0)))</f>
        <v>1</v>
      </c>
      <c r="CA117" s="16" t="n">
        <f aca="false">IF($H117="","",INDEX(Codes!$E$2:$E$108,MATCH("A6|"&amp;$H117,Codes!$A$2:$A$108,0)))</f>
        <v>4</v>
      </c>
      <c r="CB117" s="16" t="n">
        <f aca="false">IF($X117="","",IF($X117="phone",1,0))</f>
        <v>1</v>
      </c>
      <c r="CC117" s="16" t="n">
        <f aca="false">IF($BC117="","",8-$BC117)</f>
        <v>6</v>
      </c>
      <c r="CD117" s="12" t="s">
        <v>643</v>
      </c>
      <c r="CE117" s="12" t="n">
        <v>-3.667</v>
      </c>
      <c r="CF117" s="12" t="n">
        <v>-0.819</v>
      </c>
    </row>
    <row r="118" customFormat="false" ht="15" hidden="false" customHeight="false" outlineLevel="0" collapsed="false">
      <c r="A118" s="12" t="s">
        <v>1035</v>
      </c>
      <c r="B118" s="12" t="s">
        <v>1036</v>
      </c>
      <c r="C118" s="12" t="s">
        <v>271</v>
      </c>
      <c r="D118" s="12" t="s">
        <v>289</v>
      </c>
      <c r="E118" s="12" t="s">
        <v>308</v>
      </c>
      <c r="F118" s="12" t="s">
        <v>318</v>
      </c>
      <c r="G118" s="12" t="s">
        <v>333</v>
      </c>
      <c r="H118" s="12" t="s">
        <v>351</v>
      </c>
      <c r="I118" s="12" t="s">
        <v>362</v>
      </c>
      <c r="J118" s="12" t="n">
        <v>1</v>
      </c>
      <c r="K118" s="12" t="n">
        <v>0</v>
      </c>
      <c r="L118" s="12" t="n">
        <v>0</v>
      </c>
      <c r="M118" s="12" t="n">
        <v>0</v>
      </c>
      <c r="N118" s="12" t="n">
        <v>0</v>
      </c>
      <c r="O118" s="12" t="n">
        <v>0</v>
      </c>
      <c r="P118" s="12" t="n">
        <v>0</v>
      </c>
      <c r="Q118" s="12" t="n">
        <v>6</v>
      </c>
      <c r="R118" s="12" t="s">
        <v>401</v>
      </c>
      <c r="S118" s="12" t="n">
        <v>0</v>
      </c>
      <c r="T118" s="12" t="n">
        <v>0</v>
      </c>
      <c r="U118" s="12" t="n">
        <v>0</v>
      </c>
      <c r="V118" s="12" t="n">
        <v>1</v>
      </c>
      <c r="W118" s="12" t="n">
        <v>0</v>
      </c>
      <c r="X118" s="12" t="s">
        <v>424</v>
      </c>
      <c r="Y118" s="12" t="s">
        <v>428</v>
      </c>
      <c r="Z118" s="12" t="n">
        <v>1</v>
      </c>
      <c r="AA118" s="12" t="n">
        <v>0</v>
      </c>
      <c r="AB118" s="12" t="n">
        <v>1</v>
      </c>
      <c r="AC118" s="12" t="n">
        <v>0</v>
      </c>
      <c r="AD118" s="12" t="n">
        <v>1</v>
      </c>
      <c r="AE118" s="12" t="n">
        <v>0</v>
      </c>
      <c r="AF118" s="12" t="n">
        <v>0</v>
      </c>
      <c r="AG118" s="12" t="n">
        <v>1</v>
      </c>
      <c r="AH118" s="12" t="n">
        <v>0</v>
      </c>
      <c r="AI118" s="12" t="n">
        <v>0</v>
      </c>
      <c r="AJ118" s="12" t="n">
        <v>0</v>
      </c>
      <c r="AK118" s="12" t="n">
        <v>0</v>
      </c>
      <c r="AL118" s="12" t="n">
        <v>0</v>
      </c>
      <c r="AM118" s="12" t="n">
        <v>0</v>
      </c>
      <c r="AN118" s="12" t="n">
        <v>1</v>
      </c>
      <c r="AO118" s="12" t="n">
        <v>1</v>
      </c>
      <c r="AP118" s="12" t="n">
        <v>1</v>
      </c>
      <c r="AQ118" s="12" t="n">
        <v>0</v>
      </c>
      <c r="AR118" s="12" t="n">
        <v>0</v>
      </c>
      <c r="AS118" s="12" t="n">
        <v>0</v>
      </c>
      <c r="AT118" s="12" t="s">
        <v>483</v>
      </c>
      <c r="AU118" s="12" t="s">
        <v>356</v>
      </c>
      <c r="AV118" s="12" t="n">
        <v>0</v>
      </c>
      <c r="AW118" s="12" t="n">
        <v>0</v>
      </c>
      <c r="AX118" s="12" t="n">
        <v>0</v>
      </c>
      <c r="AY118" s="12" t="n">
        <v>1</v>
      </c>
      <c r="AZ118" s="12" t="n">
        <v>1</v>
      </c>
      <c r="BA118" s="12" t="n">
        <v>0</v>
      </c>
      <c r="BB118" s="12" t="n">
        <v>4</v>
      </c>
      <c r="BC118" s="12" t="n">
        <v>3</v>
      </c>
      <c r="BD118" s="12" t="n">
        <v>3</v>
      </c>
      <c r="BE118" s="12" t="n">
        <v>3</v>
      </c>
      <c r="BF118" s="12" t="n">
        <v>3</v>
      </c>
      <c r="BG118" s="12" t="n">
        <v>4</v>
      </c>
      <c r="BH118" s="12" t="n">
        <v>3</v>
      </c>
      <c r="BI118" s="12" t="n">
        <v>3</v>
      </c>
      <c r="BJ118" s="12" t="n">
        <v>6</v>
      </c>
      <c r="BK118" s="12" t="n">
        <v>6</v>
      </c>
      <c r="BL118" s="12" t="n">
        <v>5</v>
      </c>
      <c r="BM118" s="12" t="n">
        <v>2</v>
      </c>
      <c r="BN118" s="12" t="n">
        <v>3</v>
      </c>
      <c r="BO118" s="12" t="n">
        <v>2</v>
      </c>
      <c r="BP118" s="12" t="n">
        <v>1</v>
      </c>
      <c r="BQ118" s="12" t="n">
        <v>4</v>
      </c>
      <c r="BR118" s="12" t="n">
        <v>5</v>
      </c>
      <c r="BS118" s="12" t="n">
        <v>6</v>
      </c>
      <c r="BT118" s="12" t="s">
        <v>1037</v>
      </c>
      <c r="BU118" s="12" t="s">
        <v>1038</v>
      </c>
      <c r="BV118" s="12"/>
      <c r="BW118" s="16" t="n">
        <f aca="false">IF($R118="","",INDEX(Codes!$E$2:$E$108,MATCH("B1|"&amp;$R118,Codes!$A$2:$A$108,0)))</f>
        <v>5</v>
      </c>
      <c r="BX118" s="16" t="n">
        <f aca="false">IF($Y118="","",INDEX(Codes!$E$2:$E$108,MATCH("B4|"&amp;$Y118,Codes!$A$2:$A$108,0)))</f>
        <v>1</v>
      </c>
      <c r="BY118" s="16" t="n">
        <f aca="false">IF($I118="","",INDEX(Codes!$E$2:$E$108,MATCH("A7|"&amp;$I118,Codes!$A$2:$A$108,0)))</f>
        <v>2</v>
      </c>
      <c r="BZ118" s="16" t="n">
        <f aca="false">IF($AU118="","",INDEX(Codes!$E$2:$E$108,MATCH("B8|"&amp;$AU118,Codes!$A$2:$A$108,0)))</f>
        <v>0</v>
      </c>
      <c r="CA118" s="16" t="n">
        <f aca="false">IF($H118="","",INDEX(Codes!$E$2:$E$108,MATCH("A6|"&amp;$H118,Codes!$A$2:$A$108,0)))</f>
        <v>5</v>
      </c>
      <c r="CB118" s="16" t="n">
        <f aca="false">IF($X118="","",IF($X118="phone",1,0))</f>
        <v>1</v>
      </c>
      <c r="CC118" s="16" t="n">
        <f aca="false">IF($BC118="","",8-$BC118)</f>
        <v>5</v>
      </c>
      <c r="CD118" s="12" t="s">
        <v>643</v>
      </c>
      <c r="CE118" s="12" t="n">
        <v>-2.58</v>
      </c>
      <c r="CF118" s="12" t="n">
        <v>-1.476</v>
      </c>
    </row>
    <row r="119" customFormat="false" ht="15" hidden="false" customHeight="false" outlineLevel="0" collapsed="false">
      <c r="A119" s="12" t="s">
        <v>1039</v>
      </c>
      <c r="B119" s="12" t="s">
        <v>1040</v>
      </c>
      <c r="C119" s="12" t="s">
        <v>274</v>
      </c>
      <c r="D119" s="12" t="s">
        <v>291</v>
      </c>
      <c r="E119" s="12" t="s">
        <v>305</v>
      </c>
      <c r="F119" s="12" t="s">
        <v>321</v>
      </c>
      <c r="G119" s="12" t="s">
        <v>333</v>
      </c>
      <c r="H119" s="12" t="s">
        <v>347</v>
      </c>
      <c r="I119" s="12" t="s">
        <v>362</v>
      </c>
      <c r="J119" s="12" t="n">
        <v>0</v>
      </c>
      <c r="K119" s="12" t="n">
        <v>0</v>
      </c>
      <c r="L119" s="12" t="n">
        <v>0</v>
      </c>
      <c r="M119" s="12" t="n">
        <v>1</v>
      </c>
      <c r="N119" s="12" t="n">
        <v>0</v>
      </c>
      <c r="O119" s="12" t="n">
        <v>0</v>
      </c>
      <c r="P119" s="12" t="n">
        <v>0</v>
      </c>
      <c r="Q119" s="12" t="n">
        <v>5</v>
      </c>
      <c r="R119" s="12" t="s">
        <v>398</v>
      </c>
      <c r="S119" s="12" t="n">
        <v>1</v>
      </c>
      <c r="T119" s="12" t="n">
        <v>0</v>
      </c>
      <c r="U119" s="12" t="n">
        <v>0</v>
      </c>
      <c r="V119" s="12" t="n">
        <v>0</v>
      </c>
      <c r="W119" s="12" t="n">
        <v>0</v>
      </c>
      <c r="X119" s="12" t="s">
        <v>407</v>
      </c>
      <c r="Y119" s="12" t="s">
        <v>437</v>
      </c>
      <c r="Z119" s="12" t="n">
        <v>1</v>
      </c>
      <c r="AA119" s="12" t="n">
        <v>1</v>
      </c>
      <c r="AB119" s="12" t="n">
        <v>0</v>
      </c>
      <c r="AC119" s="12" t="n">
        <v>1</v>
      </c>
      <c r="AD119" s="12" t="n">
        <v>1</v>
      </c>
      <c r="AE119" s="12" t="n">
        <v>0</v>
      </c>
      <c r="AF119" s="12" t="n">
        <v>1</v>
      </c>
      <c r="AG119" s="12" t="n">
        <v>0</v>
      </c>
      <c r="AH119" s="12" t="n">
        <v>1</v>
      </c>
      <c r="AI119" s="12" t="n">
        <v>0</v>
      </c>
      <c r="AJ119" s="12" t="n">
        <v>0</v>
      </c>
      <c r="AK119" s="12" t="n">
        <v>0</v>
      </c>
      <c r="AL119" s="12" t="n">
        <v>0</v>
      </c>
      <c r="AM119" s="12" t="n">
        <v>1</v>
      </c>
      <c r="AN119" s="12" t="n">
        <v>0</v>
      </c>
      <c r="AO119" s="12" t="n">
        <v>0</v>
      </c>
      <c r="AP119" s="12" t="n">
        <v>0</v>
      </c>
      <c r="AQ119" s="12" t="n">
        <v>0</v>
      </c>
      <c r="AR119" s="12" t="n">
        <v>1</v>
      </c>
      <c r="AS119" s="12" t="n">
        <v>0</v>
      </c>
      <c r="AT119" s="12" t="s">
        <v>480</v>
      </c>
      <c r="AU119" s="12" t="s">
        <v>395</v>
      </c>
      <c r="AV119" s="12" t="n">
        <v>0</v>
      </c>
      <c r="AW119" s="12" t="n">
        <v>0</v>
      </c>
      <c r="AX119" s="12" t="n">
        <v>1</v>
      </c>
      <c r="AY119" s="12" t="n">
        <v>1</v>
      </c>
      <c r="AZ119" s="12" t="n">
        <v>0</v>
      </c>
      <c r="BA119" s="12" t="n">
        <v>0</v>
      </c>
      <c r="BB119" s="12" t="n">
        <v>3</v>
      </c>
      <c r="BC119" s="12" t="n">
        <v>7</v>
      </c>
      <c r="BD119" s="12" t="n">
        <v>5</v>
      </c>
      <c r="BE119" s="12" t="n">
        <v>5</v>
      </c>
      <c r="BF119" s="12" t="n">
        <v>4</v>
      </c>
      <c r="BG119" s="12" t="n">
        <v>1</v>
      </c>
      <c r="BH119" s="12" t="n">
        <v>6</v>
      </c>
      <c r="BI119" s="12" t="n">
        <v>5</v>
      </c>
      <c r="BJ119" s="12" t="n">
        <v>6</v>
      </c>
      <c r="BK119" s="12" t="n">
        <v>3</v>
      </c>
      <c r="BL119" s="12" t="n">
        <v>5</v>
      </c>
      <c r="BM119" s="12" t="n">
        <v>4</v>
      </c>
      <c r="BN119" s="12" t="n">
        <v>2</v>
      </c>
      <c r="BO119" s="12" t="n">
        <v>4</v>
      </c>
      <c r="BP119" s="12" t="n">
        <v>3</v>
      </c>
      <c r="BQ119" s="12" t="n">
        <v>5</v>
      </c>
      <c r="BR119" s="12" t="n">
        <v>1</v>
      </c>
      <c r="BS119" s="12" t="n">
        <v>6</v>
      </c>
      <c r="BT119" s="12" t="s">
        <v>1041</v>
      </c>
      <c r="BU119" s="12" t="s">
        <v>799</v>
      </c>
      <c r="BV119" s="12"/>
      <c r="BW119" s="16" t="n">
        <f aca="false">IF($R119="","",INDEX(Codes!$E$2:$E$108,MATCH("B1|"&amp;$R119,Codes!$A$2:$A$108,0)))</f>
        <v>4</v>
      </c>
      <c r="BX119" s="16" t="n">
        <f aca="false">IF($Y119="","",INDEX(Codes!$E$2:$E$108,MATCH("B4|"&amp;$Y119,Codes!$A$2:$A$108,0)))</f>
        <v>4</v>
      </c>
      <c r="BY119" s="16" t="n">
        <f aca="false">IF($I119="","",INDEX(Codes!$E$2:$E$108,MATCH("A7|"&amp;$I119,Codes!$A$2:$A$108,0)))</f>
        <v>2</v>
      </c>
      <c r="BZ119" s="16" t="n">
        <f aca="false">IF($AU119="","",INDEX(Codes!$E$2:$E$108,MATCH("B8|"&amp;$AU119,Codes!$A$2:$A$108,0)))</f>
        <v>2</v>
      </c>
      <c r="CA119" s="16" t="n">
        <f aca="false">IF($H119="","",INDEX(Codes!$E$2:$E$108,MATCH("A6|"&amp;$H119,Codes!$A$2:$A$108,0)))</f>
        <v>3</v>
      </c>
      <c r="CB119" s="16" t="n">
        <f aca="false">IF($X119="","",IF($X119="phone",1,0))</f>
        <v>0</v>
      </c>
      <c r="CC119" s="16" t="n">
        <f aca="false">IF($BC119="","",8-$BC119)</f>
        <v>1</v>
      </c>
      <c r="CD119" s="12" t="s">
        <v>620</v>
      </c>
      <c r="CE119" s="12" t="n">
        <v>1.352</v>
      </c>
      <c r="CF119" s="12" t="n">
        <v>1.857</v>
      </c>
    </row>
    <row r="120" customFormat="false" ht="15" hidden="false" customHeight="false" outlineLevel="0" collapsed="false">
      <c r="A120" s="12" t="s">
        <v>1042</v>
      </c>
      <c r="B120" s="12" t="s">
        <v>1043</v>
      </c>
      <c r="C120" s="12" t="s">
        <v>274</v>
      </c>
      <c r="D120" s="12" t="s">
        <v>295</v>
      </c>
      <c r="E120" s="12" t="s">
        <v>308</v>
      </c>
      <c r="F120" s="12" t="s">
        <v>318</v>
      </c>
      <c r="G120" s="12" t="s">
        <v>333</v>
      </c>
      <c r="H120" s="12" t="s">
        <v>347</v>
      </c>
      <c r="I120" s="12" t="s">
        <v>359</v>
      </c>
      <c r="J120" s="12" t="n">
        <v>0</v>
      </c>
      <c r="K120" s="12" t="n">
        <v>0</v>
      </c>
      <c r="L120" s="12" t="n">
        <v>0</v>
      </c>
      <c r="M120" s="12" t="n">
        <v>1</v>
      </c>
      <c r="N120" s="12" t="n">
        <v>0</v>
      </c>
      <c r="O120" s="12" t="n">
        <v>0</v>
      </c>
      <c r="P120" s="12" t="n">
        <v>0</v>
      </c>
      <c r="Q120" s="12" t="n">
        <v>6</v>
      </c>
      <c r="R120" s="12" t="s">
        <v>401</v>
      </c>
      <c r="S120" s="12" t="n">
        <v>1</v>
      </c>
      <c r="T120" s="12" t="n">
        <v>0</v>
      </c>
      <c r="U120" s="12" t="n">
        <v>0</v>
      </c>
      <c r="V120" s="12" t="n">
        <v>0</v>
      </c>
      <c r="W120" s="12" t="n">
        <v>0</v>
      </c>
      <c r="X120" s="12" t="s">
        <v>407</v>
      </c>
      <c r="Y120" s="12" t="s">
        <v>440</v>
      </c>
      <c r="Z120" s="12" t="n">
        <v>1</v>
      </c>
      <c r="AA120" s="12" t="n">
        <v>1</v>
      </c>
      <c r="AB120" s="12" t="n">
        <v>1</v>
      </c>
      <c r="AC120" s="12" t="n">
        <v>1</v>
      </c>
      <c r="AD120" s="12" t="n">
        <v>1</v>
      </c>
      <c r="AE120" s="12" t="n">
        <v>0</v>
      </c>
      <c r="AF120" s="12" t="n">
        <v>0</v>
      </c>
      <c r="AG120" s="12" t="n">
        <v>0</v>
      </c>
      <c r="AH120" s="12" t="n">
        <v>0</v>
      </c>
      <c r="AI120" s="12" t="n">
        <v>1</v>
      </c>
      <c r="AJ120" s="12" t="n">
        <v>0</v>
      </c>
      <c r="AK120" s="12" t="n">
        <v>0</v>
      </c>
      <c r="AL120" s="12" t="n">
        <v>1</v>
      </c>
      <c r="AM120" s="12" t="n">
        <v>0</v>
      </c>
      <c r="AN120" s="12" t="n">
        <v>0</v>
      </c>
      <c r="AO120" s="12" t="n">
        <v>1</v>
      </c>
      <c r="AP120" s="12" t="n">
        <v>0</v>
      </c>
      <c r="AQ120" s="12" t="n">
        <v>0</v>
      </c>
      <c r="AR120" s="12" t="n">
        <v>0</v>
      </c>
      <c r="AS120" s="12" t="n">
        <v>0</v>
      </c>
      <c r="AT120" s="12" t="s">
        <v>504</v>
      </c>
      <c r="AU120" s="12" t="s">
        <v>395</v>
      </c>
      <c r="AV120" s="12" t="n">
        <v>0</v>
      </c>
      <c r="AW120" s="12" t="n">
        <v>1</v>
      </c>
      <c r="AX120" s="12" t="n">
        <v>1</v>
      </c>
      <c r="AY120" s="12" t="n">
        <v>1</v>
      </c>
      <c r="AZ120" s="12" t="n">
        <v>0</v>
      </c>
      <c r="BA120" s="12" t="n">
        <v>0</v>
      </c>
      <c r="BB120" s="12" t="n">
        <v>2</v>
      </c>
      <c r="BC120" s="12" t="n">
        <v>6</v>
      </c>
      <c r="BD120" s="12" t="n">
        <v>4</v>
      </c>
      <c r="BE120" s="12" t="n">
        <v>3</v>
      </c>
      <c r="BF120" s="12" t="n">
        <v>3</v>
      </c>
      <c r="BG120" s="12" t="n">
        <v>3</v>
      </c>
      <c r="BH120" s="12" t="n">
        <v>5</v>
      </c>
      <c r="BI120" s="12" t="n">
        <v>2</v>
      </c>
      <c r="BJ120" s="12" t="n">
        <v>2</v>
      </c>
      <c r="BK120" s="12" t="n">
        <v>2</v>
      </c>
      <c r="BL120" s="12" t="n">
        <v>4</v>
      </c>
      <c r="BM120" s="12" t="n">
        <v>3</v>
      </c>
      <c r="BN120" s="12" t="n">
        <v>1</v>
      </c>
      <c r="BO120" s="12" t="n">
        <v>3</v>
      </c>
      <c r="BP120" s="12" t="n">
        <v>5</v>
      </c>
      <c r="BQ120" s="12" t="n">
        <v>4</v>
      </c>
      <c r="BR120" s="12" t="n">
        <v>2</v>
      </c>
      <c r="BS120" s="12" t="n">
        <v>6</v>
      </c>
      <c r="BT120" s="12" t="s">
        <v>1044</v>
      </c>
      <c r="BU120" s="12" t="s">
        <v>1045</v>
      </c>
      <c r="BV120" s="12"/>
      <c r="BW120" s="16" t="n">
        <f aca="false">IF($R120="","",INDEX(Codes!$E$2:$E$108,MATCH("B1|"&amp;$R120,Codes!$A$2:$A$108,0)))</f>
        <v>5</v>
      </c>
      <c r="BX120" s="16" t="n">
        <f aca="false">IF($Y120="","",INDEX(Codes!$E$2:$E$108,MATCH("B4|"&amp;$Y120,Codes!$A$2:$A$108,0)))</f>
        <v>5</v>
      </c>
      <c r="BY120" s="16" t="n">
        <f aca="false">IF($I120="","",INDEX(Codes!$E$2:$E$108,MATCH("A7|"&amp;$I120,Codes!$A$2:$A$108,0)))</f>
        <v>1</v>
      </c>
      <c r="BZ120" s="16" t="n">
        <f aca="false">IF($AU120="","",INDEX(Codes!$E$2:$E$108,MATCH("B8|"&amp;$AU120,Codes!$A$2:$A$108,0)))</f>
        <v>2</v>
      </c>
      <c r="CA120" s="16" t="n">
        <f aca="false">IF($H120="","",INDEX(Codes!$E$2:$E$108,MATCH("A6|"&amp;$H120,Codes!$A$2:$A$108,0)))</f>
        <v>3</v>
      </c>
      <c r="CB120" s="16" t="n">
        <f aca="false">IF($X120="","",IF($X120="phone",1,0))</f>
        <v>0</v>
      </c>
      <c r="CC120" s="16" t="n">
        <f aca="false">IF($BC120="","",8-$BC120)</f>
        <v>2</v>
      </c>
      <c r="CD120" s="12" t="s">
        <v>671</v>
      </c>
      <c r="CE120" s="12" t="n">
        <v>3.312</v>
      </c>
      <c r="CF120" s="12" t="n">
        <v>0.992</v>
      </c>
    </row>
    <row r="121" customFormat="false" ht="15" hidden="false" customHeight="false" outlineLevel="0" collapsed="false">
      <c r="A121" s="12" t="s">
        <v>1046</v>
      </c>
      <c r="B121" s="12" t="s">
        <v>1047</v>
      </c>
      <c r="C121" s="12" t="s">
        <v>274</v>
      </c>
      <c r="D121" s="12" t="s">
        <v>291</v>
      </c>
      <c r="E121" s="12" t="s">
        <v>308</v>
      </c>
      <c r="F121" s="12" t="s">
        <v>321</v>
      </c>
      <c r="G121" s="12" t="s">
        <v>336</v>
      </c>
      <c r="H121" s="12" t="s">
        <v>351</v>
      </c>
      <c r="I121" s="12" t="s">
        <v>362</v>
      </c>
      <c r="J121" s="12" t="n">
        <v>1</v>
      </c>
      <c r="K121" s="12" t="n">
        <v>0</v>
      </c>
      <c r="L121" s="12" t="n">
        <v>0</v>
      </c>
      <c r="M121" s="12" t="n">
        <v>0</v>
      </c>
      <c r="N121" s="12" t="n">
        <v>0</v>
      </c>
      <c r="O121" s="12" t="n">
        <v>0</v>
      </c>
      <c r="P121" s="12" t="n">
        <v>0</v>
      </c>
      <c r="Q121" s="12" t="n">
        <v>4</v>
      </c>
      <c r="R121" s="12" t="s">
        <v>398</v>
      </c>
      <c r="S121" s="12" t="n">
        <v>1</v>
      </c>
      <c r="T121" s="12" t="n">
        <v>0</v>
      </c>
      <c r="U121" s="12" t="n">
        <v>0</v>
      </c>
      <c r="V121" s="12" t="n">
        <v>1</v>
      </c>
      <c r="W121" s="12" t="n">
        <v>0</v>
      </c>
      <c r="X121" s="12" t="s">
        <v>424</v>
      </c>
      <c r="Y121" s="12" t="s">
        <v>434</v>
      </c>
      <c r="Z121" s="12" t="n">
        <v>1</v>
      </c>
      <c r="AA121" s="12" t="n">
        <v>1</v>
      </c>
      <c r="AB121" s="12" t="n">
        <v>1</v>
      </c>
      <c r="AC121" s="12" t="n">
        <v>1</v>
      </c>
      <c r="AD121" s="12" t="n">
        <v>1</v>
      </c>
      <c r="AE121" s="12" t="n">
        <v>1</v>
      </c>
      <c r="AF121" s="12" t="n">
        <v>0</v>
      </c>
      <c r="AG121" s="12" t="n">
        <v>0</v>
      </c>
      <c r="AH121" s="12" t="n">
        <v>0</v>
      </c>
      <c r="AI121" s="12" t="n">
        <v>1</v>
      </c>
      <c r="AJ121" s="12" t="n">
        <v>1</v>
      </c>
      <c r="AK121" s="12" t="n">
        <v>0</v>
      </c>
      <c r="AL121" s="12" t="n">
        <v>1</v>
      </c>
      <c r="AM121" s="12" t="n">
        <v>0</v>
      </c>
      <c r="AN121" s="12" t="n">
        <v>1</v>
      </c>
      <c r="AO121" s="12" t="n">
        <v>0</v>
      </c>
      <c r="AP121" s="12" t="n">
        <v>1</v>
      </c>
      <c r="AQ121" s="12" t="n">
        <v>0</v>
      </c>
      <c r="AR121" s="12" t="n">
        <v>0</v>
      </c>
      <c r="AS121" s="12" t="n">
        <v>0</v>
      </c>
      <c r="AT121" s="12" t="s">
        <v>483</v>
      </c>
      <c r="AU121" s="12" t="s">
        <v>398</v>
      </c>
      <c r="AV121" s="12" t="n">
        <v>0</v>
      </c>
      <c r="AW121" s="12" t="n">
        <v>0</v>
      </c>
      <c r="AX121" s="12" t="n">
        <v>1</v>
      </c>
      <c r="AY121" s="12" t="n">
        <v>1</v>
      </c>
      <c r="AZ121" s="12" t="n">
        <v>1</v>
      </c>
      <c r="BA121" s="12" t="n">
        <v>0</v>
      </c>
      <c r="BB121" s="12" t="n">
        <v>3</v>
      </c>
      <c r="BC121" s="12" t="n">
        <v>4</v>
      </c>
      <c r="BD121" s="12" t="n">
        <v>6</v>
      </c>
      <c r="BE121" s="12" t="n">
        <v>5</v>
      </c>
      <c r="BF121" s="12" t="n">
        <v>3</v>
      </c>
      <c r="BG121" s="12" t="n">
        <v>3</v>
      </c>
      <c r="BH121" s="12" t="n">
        <v>4</v>
      </c>
      <c r="BI121" s="12" t="n">
        <v>5</v>
      </c>
      <c r="BJ121" s="12" t="n">
        <v>6</v>
      </c>
      <c r="BK121" s="12" t="n">
        <v>6</v>
      </c>
      <c r="BL121" s="12" t="n">
        <v>4</v>
      </c>
      <c r="BM121" s="12" t="n">
        <v>3</v>
      </c>
      <c r="BN121" s="12" t="n">
        <v>3</v>
      </c>
      <c r="BO121" s="12" t="n">
        <v>1</v>
      </c>
      <c r="BP121" s="12" t="n">
        <v>2</v>
      </c>
      <c r="BQ121" s="12" t="n">
        <v>5</v>
      </c>
      <c r="BR121" s="12" t="n">
        <v>4</v>
      </c>
      <c r="BS121" s="12" t="n">
        <v>6</v>
      </c>
      <c r="BT121" s="12" t="s">
        <v>677</v>
      </c>
      <c r="BU121" s="12" t="s">
        <v>746</v>
      </c>
      <c r="BV121" s="12"/>
      <c r="BW121" s="16" t="n">
        <f aca="false">IF($R121="","",INDEX(Codes!$E$2:$E$108,MATCH("B1|"&amp;$R121,Codes!$A$2:$A$108,0)))</f>
        <v>4</v>
      </c>
      <c r="BX121" s="16" t="n">
        <f aca="false">IF($Y121="","",INDEX(Codes!$E$2:$E$108,MATCH("B4|"&amp;$Y121,Codes!$A$2:$A$108,0)))</f>
        <v>3</v>
      </c>
      <c r="BY121" s="16" t="n">
        <f aca="false">IF($I121="","",INDEX(Codes!$E$2:$E$108,MATCH("A7|"&amp;$I121,Codes!$A$2:$A$108,0)))</f>
        <v>2</v>
      </c>
      <c r="BZ121" s="16" t="n">
        <f aca="false">IF($AU121="","",INDEX(Codes!$E$2:$E$108,MATCH("B8|"&amp;$AU121,Codes!$A$2:$A$108,0)))</f>
        <v>3</v>
      </c>
      <c r="CA121" s="16" t="n">
        <f aca="false">IF($H121="","",INDEX(Codes!$E$2:$E$108,MATCH("A6|"&amp;$H121,Codes!$A$2:$A$108,0)))</f>
        <v>5</v>
      </c>
      <c r="CB121" s="16" t="n">
        <f aca="false">IF($X121="","",IF($X121="phone",1,0))</f>
        <v>1</v>
      </c>
      <c r="CC121" s="16" t="n">
        <f aca="false">IF($BC121="","",8-$BC121)</f>
        <v>4</v>
      </c>
      <c r="CD121" s="12" t="s">
        <v>643</v>
      </c>
      <c r="CE121" s="12" t="n">
        <v>-1.566</v>
      </c>
      <c r="CF121" s="12" t="n">
        <v>-1.475</v>
      </c>
    </row>
    <row r="122" customFormat="false" ht="15" hidden="false" customHeight="false" outlineLevel="0" collapsed="false">
      <c r="A122" s="12" t="s">
        <v>1048</v>
      </c>
      <c r="B122" s="12" t="s">
        <v>1049</v>
      </c>
      <c r="C122" s="12" t="s">
        <v>271</v>
      </c>
      <c r="D122" s="12" t="s">
        <v>295</v>
      </c>
      <c r="E122" s="12" t="s">
        <v>308</v>
      </c>
      <c r="F122" s="12" t="s">
        <v>318</v>
      </c>
      <c r="G122" s="12" t="s">
        <v>336</v>
      </c>
      <c r="H122" s="12" t="s">
        <v>347</v>
      </c>
      <c r="I122" s="12" t="s">
        <v>359</v>
      </c>
      <c r="J122" s="12" t="n">
        <v>0</v>
      </c>
      <c r="K122" s="12" t="n">
        <v>0</v>
      </c>
      <c r="L122" s="12" t="n">
        <v>0</v>
      </c>
      <c r="M122" s="12" t="n">
        <v>1</v>
      </c>
      <c r="N122" s="12" t="n">
        <v>0</v>
      </c>
      <c r="O122" s="12" t="n">
        <v>0</v>
      </c>
      <c r="P122" s="12" t="n">
        <v>0</v>
      </c>
      <c r="Q122" s="12" t="n">
        <v>6</v>
      </c>
      <c r="R122" s="12" t="s">
        <v>398</v>
      </c>
      <c r="S122" s="12" t="n">
        <v>1</v>
      </c>
      <c r="T122" s="12" t="n">
        <v>1</v>
      </c>
      <c r="U122" s="12" t="n">
        <v>0</v>
      </c>
      <c r="V122" s="12" t="n">
        <v>0</v>
      </c>
      <c r="W122" s="12" t="n">
        <v>0</v>
      </c>
      <c r="X122" s="12" t="s">
        <v>407</v>
      </c>
      <c r="Y122" s="12" t="s">
        <v>440</v>
      </c>
      <c r="Z122" s="12" t="n">
        <v>1</v>
      </c>
      <c r="AA122" s="12" t="n">
        <v>1</v>
      </c>
      <c r="AB122" s="12" t="n">
        <v>1</v>
      </c>
      <c r="AC122" s="12" t="n">
        <v>1</v>
      </c>
      <c r="AD122" s="12" t="n">
        <v>1</v>
      </c>
      <c r="AE122" s="12" t="n">
        <v>0</v>
      </c>
      <c r="AF122" s="12" t="n">
        <v>1</v>
      </c>
      <c r="AG122" s="12" t="n">
        <v>0</v>
      </c>
      <c r="AH122" s="12" t="n">
        <v>0</v>
      </c>
      <c r="AI122" s="12" t="n">
        <v>0</v>
      </c>
      <c r="AJ122" s="12" t="n">
        <v>1</v>
      </c>
      <c r="AK122" s="12" t="n">
        <v>0</v>
      </c>
      <c r="AL122" s="12" t="n">
        <v>0</v>
      </c>
      <c r="AM122" s="12" t="n">
        <v>1</v>
      </c>
      <c r="AN122" s="12" t="n">
        <v>0</v>
      </c>
      <c r="AO122" s="12" t="n">
        <v>0</v>
      </c>
      <c r="AP122" s="12" t="n">
        <v>0</v>
      </c>
      <c r="AQ122" s="12" t="n">
        <v>0</v>
      </c>
      <c r="AR122" s="12" t="n">
        <v>0</v>
      </c>
      <c r="AS122" s="12" t="n">
        <v>0</v>
      </c>
      <c r="AT122" s="12" t="s">
        <v>480</v>
      </c>
      <c r="AU122" s="12" t="s">
        <v>395</v>
      </c>
      <c r="AV122" s="12" t="n">
        <v>0</v>
      </c>
      <c r="AW122" s="12" t="n">
        <v>1</v>
      </c>
      <c r="AX122" s="12" t="n">
        <v>0</v>
      </c>
      <c r="AY122" s="12" t="n">
        <v>0</v>
      </c>
      <c r="AZ122" s="12" t="n">
        <v>0</v>
      </c>
      <c r="BA122" s="12" t="n">
        <v>0</v>
      </c>
      <c r="BB122" s="12" t="n">
        <v>3</v>
      </c>
      <c r="BC122" s="12" t="n">
        <v>5</v>
      </c>
      <c r="BD122" s="12" t="n">
        <v>5</v>
      </c>
      <c r="BE122" s="12" t="n">
        <v>4</v>
      </c>
      <c r="BF122" s="12" t="n">
        <v>4</v>
      </c>
      <c r="BG122" s="12" t="n">
        <v>2</v>
      </c>
      <c r="BH122" s="12" t="n">
        <v>4</v>
      </c>
      <c r="BI122" s="12" t="n">
        <v>4</v>
      </c>
      <c r="BJ122" s="12" t="n">
        <v>2</v>
      </c>
      <c r="BK122" s="12" t="n">
        <v>3</v>
      </c>
      <c r="BL122" s="12" t="n">
        <v>4</v>
      </c>
      <c r="BM122" s="12" t="n">
        <v>1</v>
      </c>
      <c r="BN122" s="12" t="n">
        <v>2</v>
      </c>
      <c r="BO122" s="12" t="n">
        <v>3</v>
      </c>
      <c r="BP122" s="12" t="n">
        <v>4</v>
      </c>
      <c r="BQ122" s="12" t="n">
        <v>6</v>
      </c>
      <c r="BR122" s="12" t="n">
        <v>1</v>
      </c>
      <c r="BS122" s="12" t="n">
        <v>5</v>
      </c>
      <c r="BT122" s="12" t="s">
        <v>1050</v>
      </c>
      <c r="BU122" s="12" t="s">
        <v>1051</v>
      </c>
      <c r="BV122" s="12" t="s">
        <v>773</v>
      </c>
      <c r="BW122" s="16" t="n">
        <f aca="false">IF($R122="","",INDEX(Codes!$E$2:$E$108,MATCH("B1|"&amp;$R122,Codes!$A$2:$A$108,0)))</f>
        <v>4</v>
      </c>
      <c r="BX122" s="16" t="n">
        <f aca="false">IF($Y122="","",INDEX(Codes!$E$2:$E$108,MATCH("B4|"&amp;$Y122,Codes!$A$2:$A$108,0)))</f>
        <v>5</v>
      </c>
      <c r="BY122" s="16" t="n">
        <f aca="false">IF($I122="","",INDEX(Codes!$E$2:$E$108,MATCH("A7|"&amp;$I122,Codes!$A$2:$A$108,0)))</f>
        <v>1</v>
      </c>
      <c r="BZ122" s="16" t="n">
        <f aca="false">IF($AU122="","",INDEX(Codes!$E$2:$E$108,MATCH("B8|"&amp;$AU122,Codes!$A$2:$A$108,0)))</f>
        <v>2</v>
      </c>
      <c r="CA122" s="16" t="n">
        <f aca="false">IF($H122="","",INDEX(Codes!$E$2:$E$108,MATCH("A6|"&amp;$H122,Codes!$A$2:$A$108,0)))</f>
        <v>3</v>
      </c>
      <c r="CB122" s="16" t="n">
        <f aca="false">IF($X122="","",IF($X122="phone",1,0))</f>
        <v>0</v>
      </c>
      <c r="CC122" s="16" t="n">
        <f aca="false">IF($BC122="","",8-$BC122)</f>
        <v>3</v>
      </c>
      <c r="CD122" s="12" t="s">
        <v>671</v>
      </c>
      <c r="CE122" s="12" t="n">
        <v>2.705</v>
      </c>
      <c r="CF122" s="12" t="n">
        <v>0.767</v>
      </c>
    </row>
    <row r="123" customFormat="false" ht="15" hidden="false" customHeight="false" outlineLevel="0" collapsed="false">
      <c r="A123" s="12" t="s">
        <v>1052</v>
      </c>
      <c r="B123" s="12" t="s">
        <v>1053</v>
      </c>
      <c r="C123" s="12" t="s">
        <v>280</v>
      </c>
      <c r="D123" s="12" t="s">
        <v>299</v>
      </c>
      <c r="E123" s="12" t="s">
        <v>311</v>
      </c>
      <c r="F123" s="12" t="s">
        <v>321</v>
      </c>
      <c r="G123" s="12" t="s">
        <v>333</v>
      </c>
      <c r="H123" s="12" t="s">
        <v>347</v>
      </c>
      <c r="I123" s="12" t="s">
        <v>356</v>
      </c>
      <c r="J123" s="12" t="n">
        <v>1</v>
      </c>
      <c r="K123" s="12" t="n">
        <v>0</v>
      </c>
      <c r="L123" s="12" t="n">
        <v>0</v>
      </c>
      <c r="M123" s="12" t="n">
        <v>0</v>
      </c>
      <c r="N123" s="12" t="n">
        <v>0</v>
      </c>
      <c r="O123" s="12" t="n">
        <v>0</v>
      </c>
      <c r="P123" s="12" t="n">
        <v>0</v>
      </c>
      <c r="Q123" s="12" t="n">
        <v>2</v>
      </c>
      <c r="R123" s="12" t="s">
        <v>343</v>
      </c>
      <c r="S123" s="12" t="n">
        <v>1</v>
      </c>
      <c r="T123" s="12" t="n">
        <v>1</v>
      </c>
      <c r="U123" s="12" t="n">
        <v>0</v>
      </c>
      <c r="V123" s="12" t="n">
        <v>0</v>
      </c>
      <c r="W123" s="12" t="n">
        <v>0</v>
      </c>
      <c r="X123" s="12" t="s">
        <v>407</v>
      </c>
      <c r="Y123" s="12" t="s">
        <v>434</v>
      </c>
      <c r="Z123" s="12" t="n">
        <v>1</v>
      </c>
      <c r="AA123" s="12" t="n">
        <v>0</v>
      </c>
      <c r="AB123" s="12" t="n">
        <v>1</v>
      </c>
      <c r="AC123" s="12" t="n">
        <v>0</v>
      </c>
      <c r="AD123" s="12" t="n">
        <v>0</v>
      </c>
      <c r="AE123" s="12" t="n">
        <v>1</v>
      </c>
      <c r="AF123" s="12" t="n">
        <v>0</v>
      </c>
      <c r="AG123" s="12" t="n">
        <v>0</v>
      </c>
      <c r="AH123" s="12" t="n">
        <v>0</v>
      </c>
      <c r="AI123" s="12" t="n">
        <v>0</v>
      </c>
      <c r="AJ123" s="12" t="n">
        <v>0</v>
      </c>
      <c r="AK123" s="12" t="n">
        <v>0</v>
      </c>
      <c r="AL123" s="12" t="n">
        <v>0</v>
      </c>
      <c r="AM123" s="12" t="n">
        <v>0</v>
      </c>
      <c r="AN123" s="12" t="n">
        <v>0</v>
      </c>
      <c r="AO123" s="12" t="n">
        <v>0</v>
      </c>
      <c r="AP123" s="12" t="n">
        <v>0</v>
      </c>
      <c r="AQ123" s="12" t="n">
        <v>1</v>
      </c>
      <c r="AR123" s="12" t="n">
        <v>0</v>
      </c>
      <c r="AS123" s="12" t="n">
        <v>0</v>
      </c>
      <c r="AT123" s="12" t="s">
        <v>480</v>
      </c>
      <c r="AU123" s="12" t="s">
        <v>398</v>
      </c>
      <c r="AV123" s="12" t="n">
        <v>0</v>
      </c>
      <c r="AW123" s="12" t="n">
        <v>1</v>
      </c>
      <c r="AX123" s="12" t="n">
        <v>0</v>
      </c>
      <c r="AY123" s="12" t="n">
        <v>0</v>
      </c>
      <c r="AZ123" s="12" t="n">
        <v>1</v>
      </c>
      <c r="BA123" s="12" t="n">
        <v>0</v>
      </c>
      <c r="BB123" s="12" t="n">
        <v>2</v>
      </c>
      <c r="BC123" s="12" t="n">
        <v>7</v>
      </c>
      <c r="BD123" s="12" t="n">
        <v>3</v>
      </c>
      <c r="BE123" s="12" t="n">
        <v>5</v>
      </c>
      <c r="BF123" s="12" t="n">
        <v>3</v>
      </c>
      <c r="BG123" s="12" t="n">
        <v>4</v>
      </c>
      <c r="BH123" s="12" t="n">
        <v>4</v>
      </c>
      <c r="BI123" s="12" t="n">
        <v>4</v>
      </c>
      <c r="BJ123" s="12" t="n">
        <v>6</v>
      </c>
      <c r="BK123" s="12" t="n">
        <v>4</v>
      </c>
      <c r="BL123" s="12" t="n">
        <v>3</v>
      </c>
      <c r="BM123" s="12" t="n">
        <v>1</v>
      </c>
      <c r="BN123" s="12" t="n">
        <v>5</v>
      </c>
      <c r="BO123" s="12" t="n">
        <v>3</v>
      </c>
      <c r="BP123" s="12" t="n">
        <v>4</v>
      </c>
      <c r="BQ123" s="12" t="n">
        <v>2</v>
      </c>
      <c r="BR123" s="12" t="n">
        <v>1</v>
      </c>
      <c r="BS123" s="12" t="n">
        <v>6</v>
      </c>
      <c r="BT123" s="12" t="s">
        <v>1054</v>
      </c>
      <c r="BU123" s="12" t="s">
        <v>1055</v>
      </c>
      <c r="BV123" s="12" t="s">
        <v>1056</v>
      </c>
      <c r="BW123" s="16" t="n">
        <f aca="false">IF($R123="","",INDEX(Codes!$E$2:$E$108,MATCH("B1|"&amp;$R123,Codes!$A$2:$A$108,0)))</f>
        <v>2</v>
      </c>
      <c r="BX123" s="16" t="n">
        <f aca="false">IF($Y123="","",INDEX(Codes!$E$2:$E$108,MATCH("B4|"&amp;$Y123,Codes!$A$2:$A$108,0)))</f>
        <v>3</v>
      </c>
      <c r="BY123" s="16" t="n">
        <f aca="false">IF($I123="","",INDEX(Codes!$E$2:$E$108,MATCH("A7|"&amp;$I123,Codes!$A$2:$A$108,0)))</f>
        <v>0</v>
      </c>
      <c r="BZ123" s="16" t="n">
        <f aca="false">IF($AU123="","",INDEX(Codes!$E$2:$E$108,MATCH("B8|"&amp;$AU123,Codes!$A$2:$A$108,0)))</f>
        <v>3</v>
      </c>
      <c r="CA123" s="16" t="n">
        <f aca="false">IF($H123="","",INDEX(Codes!$E$2:$E$108,MATCH("A6|"&amp;$H123,Codes!$A$2:$A$108,0)))</f>
        <v>3</v>
      </c>
      <c r="CB123" s="16" t="n">
        <f aca="false">IF($X123="","",IF($X123="phone",1,0))</f>
        <v>0</v>
      </c>
      <c r="CC123" s="16" t="n">
        <f aca="false">IF($BC123="","",8-$BC123)</f>
        <v>1</v>
      </c>
      <c r="CD123" s="12" t="s">
        <v>631</v>
      </c>
      <c r="CE123" s="12" t="n">
        <v>2.32</v>
      </c>
      <c r="CF123" s="12" t="n">
        <v>-2.685</v>
      </c>
    </row>
    <row r="124" customFormat="false" ht="15" hidden="false" customHeight="false" outlineLevel="0" collapsed="false">
      <c r="A124" s="12" t="s">
        <v>1057</v>
      </c>
      <c r="B124" s="12" t="s">
        <v>1058</v>
      </c>
      <c r="C124" s="12" t="s">
        <v>271</v>
      </c>
      <c r="D124" s="12" t="s">
        <v>291</v>
      </c>
      <c r="E124" s="12" t="s">
        <v>305</v>
      </c>
      <c r="F124" s="12" t="s">
        <v>315</v>
      </c>
      <c r="G124" s="12" t="s">
        <v>333</v>
      </c>
      <c r="H124" s="12" t="s">
        <v>349</v>
      </c>
      <c r="I124" s="12" t="s">
        <v>359</v>
      </c>
      <c r="J124" s="12" t="n">
        <v>1</v>
      </c>
      <c r="K124" s="12" t="n">
        <v>0</v>
      </c>
      <c r="L124" s="12" t="n">
        <v>0</v>
      </c>
      <c r="M124" s="12" t="n">
        <v>0</v>
      </c>
      <c r="N124" s="12" t="n">
        <v>0</v>
      </c>
      <c r="O124" s="12" t="n">
        <v>0</v>
      </c>
      <c r="P124" s="12" t="n">
        <v>0</v>
      </c>
      <c r="Q124" s="12" t="n">
        <v>5</v>
      </c>
      <c r="R124" s="12" t="s">
        <v>404</v>
      </c>
      <c r="S124" s="12" t="n">
        <v>1</v>
      </c>
      <c r="T124" s="12" t="n">
        <v>0</v>
      </c>
      <c r="U124" s="12" t="n">
        <v>0</v>
      </c>
      <c r="V124" s="12" t="n">
        <v>1</v>
      </c>
      <c r="W124" s="12" t="n">
        <v>0</v>
      </c>
      <c r="X124" s="12" t="s">
        <v>424</v>
      </c>
      <c r="Y124" s="12" t="s">
        <v>428</v>
      </c>
      <c r="Z124" s="12" t="n">
        <v>1</v>
      </c>
      <c r="AA124" s="12" t="n">
        <v>0</v>
      </c>
      <c r="AB124" s="12" t="n">
        <v>1</v>
      </c>
      <c r="AC124" s="12" t="n">
        <v>0</v>
      </c>
      <c r="AD124" s="12" t="n">
        <v>1</v>
      </c>
      <c r="AE124" s="12" t="n">
        <v>0</v>
      </c>
      <c r="AF124" s="12" t="n">
        <v>0</v>
      </c>
      <c r="AG124" s="12" t="n">
        <v>0</v>
      </c>
      <c r="AH124" s="12" t="n">
        <v>0</v>
      </c>
      <c r="AI124" s="12" t="n">
        <v>0</v>
      </c>
      <c r="AJ124" s="12" t="n">
        <v>0</v>
      </c>
      <c r="AK124" s="12" t="n">
        <v>0</v>
      </c>
      <c r="AL124" s="12" t="n">
        <v>1</v>
      </c>
      <c r="AM124" s="12" t="n">
        <v>0</v>
      </c>
      <c r="AN124" s="12" t="n">
        <v>0</v>
      </c>
      <c r="AO124" s="12" t="n">
        <v>1</v>
      </c>
      <c r="AP124" s="12" t="n">
        <v>1</v>
      </c>
      <c r="AQ124" s="12" t="n">
        <v>0</v>
      </c>
      <c r="AR124" s="12" t="n">
        <v>0</v>
      </c>
      <c r="AS124" s="12" t="n">
        <v>0</v>
      </c>
      <c r="AT124" s="12" t="s">
        <v>483</v>
      </c>
      <c r="AU124" s="12" t="s">
        <v>395</v>
      </c>
      <c r="AV124" s="12" t="n">
        <v>0</v>
      </c>
      <c r="AW124" s="12" t="n">
        <v>1</v>
      </c>
      <c r="AX124" s="12" t="n">
        <v>0</v>
      </c>
      <c r="AY124" s="12" t="n">
        <v>1</v>
      </c>
      <c r="AZ124" s="12" t="n">
        <v>0</v>
      </c>
      <c r="BA124" s="12" t="n">
        <v>0</v>
      </c>
      <c r="BB124" s="12" t="n">
        <v>2</v>
      </c>
      <c r="BC124" s="12" t="n">
        <v>6</v>
      </c>
      <c r="BD124" s="12" t="n">
        <v>6</v>
      </c>
      <c r="BE124" s="12" t="n">
        <v>6</v>
      </c>
      <c r="BF124" s="12" t="n">
        <v>3</v>
      </c>
      <c r="BG124" s="12" t="n">
        <v>3</v>
      </c>
      <c r="BH124" s="12" t="n">
        <v>4</v>
      </c>
      <c r="BI124" s="12" t="n">
        <v>5</v>
      </c>
      <c r="BJ124" s="12" t="n">
        <v>5</v>
      </c>
      <c r="BK124" s="12" t="n">
        <v>5</v>
      </c>
      <c r="BL124" s="12" t="n">
        <v>4</v>
      </c>
      <c r="BM124" s="12" t="n">
        <v>4</v>
      </c>
      <c r="BN124" s="12" t="n">
        <v>3</v>
      </c>
      <c r="BO124" s="12" t="n">
        <v>2</v>
      </c>
      <c r="BP124" s="12" t="n">
        <v>1</v>
      </c>
      <c r="BQ124" s="12" t="n">
        <v>4</v>
      </c>
      <c r="BR124" s="12" t="n">
        <v>5</v>
      </c>
      <c r="BS124" s="12" t="n">
        <v>6</v>
      </c>
      <c r="BT124" s="12" t="s">
        <v>1059</v>
      </c>
      <c r="BU124" s="12"/>
      <c r="BV124" s="12"/>
      <c r="BW124" s="16" t="n">
        <f aca="false">IF($R124="","",INDEX(Codes!$E$2:$E$108,MATCH("B1|"&amp;$R124,Codes!$A$2:$A$108,0)))</f>
        <v>6</v>
      </c>
      <c r="BX124" s="16" t="n">
        <f aca="false">IF($Y124="","",INDEX(Codes!$E$2:$E$108,MATCH("B4|"&amp;$Y124,Codes!$A$2:$A$108,0)))</f>
        <v>1</v>
      </c>
      <c r="BY124" s="16" t="n">
        <f aca="false">IF($I124="","",INDEX(Codes!$E$2:$E$108,MATCH("A7|"&amp;$I124,Codes!$A$2:$A$108,0)))</f>
        <v>1</v>
      </c>
      <c r="BZ124" s="16" t="n">
        <f aca="false">IF($AU124="","",INDEX(Codes!$E$2:$E$108,MATCH("B8|"&amp;$AU124,Codes!$A$2:$A$108,0)))</f>
        <v>2</v>
      </c>
      <c r="CA124" s="16" t="n">
        <f aca="false">IF($H124="","",INDEX(Codes!$E$2:$E$108,MATCH("A6|"&amp;$H124,Codes!$A$2:$A$108,0)))</f>
        <v>4</v>
      </c>
      <c r="CB124" s="16" t="n">
        <f aca="false">IF($X124="","",IF($X124="phone",1,0))</f>
        <v>1</v>
      </c>
      <c r="CC124" s="16" t="n">
        <f aca="false">IF($BC124="","",8-$BC124)</f>
        <v>2</v>
      </c>
      <c r="CD124" s="12" t="s">
        <v>643</v>
      </c>
      <c r="CE124" s="12" t="n">
        <v>-2.311</v>
      </c>
      <c r="CF124" s="12" t="n">
        <v>-0.803</v>
      </c>
    </row>
    <row r="125" customFormat="false" ht="15" hidden="false" customHeight="false" outlineLevel="0" collapsed="false">
      <c r="A125" s="12" t="s">
        <v>1060</v>
      </c>
      <c r="B125" s="12" t="s">
        <v>1061</v>
      </c>
      <c r="C125" s="12" t="s">
        <v>280</v>
      </c>
      <c r="D125" s="12" t="s">
        <v>297</v>
      </c>
      <c r="E125" s="12" t="s">
        <v>305</v>
      </c>
      <c r="F125" s="12" t="s">
        <v>321</v>
      </c>
      <c r="G125" s="12" t="s">
        <v>333</v>
      </c>
      <c r="H125" s="12" t="s">
        <v>343</v>
      </c>
      <c r="I125" s="12" t="s">
        <v>365</v>
      </c>
      <c r="J125" s="12" t="n">
        <v>1</v>
      </c>
      <c r="K125" s="12" t="n">
        <v>0</v>
      </c>
      <c r="L125" s="12" t="n">
        <v>0</v>
      </c>
      <c r="M125" s="12" t="n">
        <v>0</v>
      </c>
      <c r="N125" s="12" t="n">
        <v>0</v>
      </c>
      <c r="O125" s="12" t="n">
        <v>0</v>
      </c>
      <c r="P125" s="12" t="n">
        <v>0</v>
      </c>
      <c r="Q125" s="12" t="n">
        <v>7</v>
      </c>
      <c r="R125" s="12" t="s">
        <v>404</v>
      </c>
      <c r="S125" s="12" t="n">
        <v>1</v>
      </c>
      <c r="T125" s="12" t="n">
        <v>1</v>
      </c>
      <c r="U125" s="12" t="n">
        <v>0</v>
      </c>
      <c r="V125" s="12" t="n">
        <v>1</v>
      </c>
      <c r="W125" s="12" t="n">
        <v>0</v>
      </c>
      <c r="X125" s="12" t="s">
        <v>407</v>
      </c>
      <c r="Y125" s="12" t="s">
        <v>440</v>
      </c>
      <c r="Z125" s="12" t="n">
        <v>1</v>
      </c>
      <c r="AA125" s="12" t="n">
        <v>1</v>
      </c>
      <c r="AB125" s="12" t="n">
        <v>1</v>
      </c>
      <c r="AC125" s="12" t="n">
        <v>1</v>
      </c>
      <c r="AD125" s="12" t="n">
        <v>0</v>
      </c>
      <c r="AE125" s="12" t="n">
        <v>1</v>
      </c>
      <c r="AF125" s="12" t="n">
        <v>0</v>
      </c>
      <c r="AG125" s="12" t="n">
        <v>1</v>
      </c>
      <c r="AH125" s="12" t="n">
        <v>0</v>
      </c>
      <c r="AI125" s="12" t="n">
        <v>0</v>
      </c>
      <c r="AJ125" s="12" t="n">
        <v>0</v>
      </c>
      <c r="AK125" s="12" t="n">
        <v>0</v>
      </c>
      <c r="AL125" s="12" t="n">
        <v>1</v>
      </c>
      <c r="AM125" s="12" t="n">
        <v>0</v>
      </c>
      <c r="AN125" s="12" t="n">
        <v>0</v>
      </c>
      <c r="AO125" s="12" t="n">
        <v>0</v>
      </c>
      <c r="AP125" s="12" t="n">
        <v>0</v>
      </c>
      <c r="AQ125" s="12" t="n">
        <v>1</v>
      </c>
      <c r="AR125" s="12" t="n">
        <v>1</v>
      </c>
      <c r="AS125" s="12" t="n">
        <v>0</v>
      </c>
      <c r="AT125" s="12" t="s">
        <v>480</v>
      </c>
      <c r="AU125" s="12" t="s">
        <v>343</v>
      </c>
      <c r="AV125" s="12" t="n">
        <v>0</v>
      </c>
      <c r="AW125" s="12" t="n">
        <v>1</v>
      </c>
      <c r="AX125" s="12" t="n">
        <v>1</v>
      </c>
      <c r="AY125" s="12" t="n">
        <v>0</v>
      </c>
      <c r="AZ125" s="12" t="n">
        <v>1</v>
      </c>
      <c r="BA125" s="12" t="n">
        <v>0</v>
      </c>
      <c r="BB125" s="12" t="n">
        <v>5</v>
      </c>
      <c r="BC125" s="12" t="n">
        <v>2</v>
      </c>
      <c r="BD125" s="12" t="n">
        <v>2</v>
      </c>
      <c r="BE125" s="12" t="n">
        <v>5</v>
      </c>
      <c r="BF125" s="12" t="n">
        <v>2</v>
      </c>
      <c r="BG125" s="12" t="n">
        <v>6</v>
      </c>
      <c r="BH125" s="12" t="n">
        <v>6</v>
      </c>
      <c r="BI125" s="12" t="n">
        <v>7</v>
      </c>
      <c r="BJ125" s="12" t="n">
        <v>5</v>
      </c>
      <c r="BK125" s="12" t="n">
        <v>2</v>
      </c>
      <c r="BL125" s="12" t="n">
        <v>4</v>
      </c>
      <c r="BM125" s="12" t="n">
        <v>2</v>
      </c>
      <c r="BN125" s="12" t="n">
        <v>3</v>
      </c>
      <c r="BO125" s="12" t="n">
        <v>5</v>
      </c>
      <c r="BP125" s="12" t="n">
        <v>1</v>
      </c>
      <c r="BQ125" s="12" t="n">
        <v>2</v>
      </c>
      <c r="BR125" s="12" t="n">
        <v>6</v>
      </c>
      <c r="BS125" s="12" t="n">
        <v>4</v>
      </c>
      <c r="BT125" s="12" t="s">
        <v>1062</v>
      </c>
      <c r="BU125" s="12"/>
      <c r="BV125" s="12" t="s">
        <v>1063</v>
      </c>
      <c r="BW125" s="16" t="n">
        <f aca="false">IF($R125="","",INDEX(Codes!$E$2:$E$108,MATCH("B1|"&amp;$R125,Codes!$A$2:$A$108,0)))</f>
        <v>6</v>
      </c>
      <c r="BX125" s="16" t="n">
        <f aca="false">IF($Y125="","",INDEX(Codes!$E$2:$E$108,MATCH("B4|"&amp;$Y125,Codes!$A$2:$A$108,0)))</f>
        <v>5</v>
      </c>
      <c r="BY125" s="16" t="n">
        <f aca="false">IF($I125="","",INDEX(Codes!$E$2:$E$108,MATCH("A7|"&amp;$I125,Codes!$A$2:$A$108,0)))</f>
        <v>3</v>
      </c>
      <c r="BZ125" s="16" t="n">
        <f aca="false">IF($AU125="","",INDEX(Codes!$E$2:$E$108,MATCH("B8|"&amp;$AU125,Codes!$A$2:$A$108,0)))</f>
        <v>1</v>
      </c>
      <c r="CA125" s="16" t="n">
        <f aca="false">IF($H125="","",INDEX(Codes!$E$2:$E$108,MATCH("A6|"&amp;$H125,Codes!$A$2:$A$108,0)))</f>
        <v>1</v>
      </c>
      <c r="CB125" s="16" t="n">
        <f aca="false">IF($X125="","",IF($X125="phone",1,0))</f>
        <v>0</v>
      </c>
      <c r="CC125" s="16" t="n">
        <f aca="false">IF($BC125="","",8-$BC125)</f>
        <v>6</v>
      </c>
      <c r="CD125" s="12" t="s">
        <v>614</v>
      </c>
      <c r="CE125" s="12" t="n">
        <v>-1.74</v>
      </c>
      <c r="CF125" s="12" t="n">
        <v>1.857</v>
      </c>
    </row>
    <row r="126" customFormat="false" ht="15" hidden="false" customHeight="false" outlineLevel="0" collapsed="false">
      <c r="BW126" s="16" t="str">
        <f aca="false">IF($R126="","",INDEX(Codes!$E$2:$E$108,MATCH("B1|"&amp;$R126,Codes!$A$2:$A$108,0)))</f>
        <v/>
      </c>
      <c r="BX126" s="16" t="str">
        <f aca="false">IF($Y126="","",INDEX(Codes!$E$2:$E$108,MATCH("B4|"&amp;$Y126,Codes!$A$2:$A$108,0)))</f>
        <v/>
      </c>
      <c r="BY126" s="16" t="str">
        <f aca="false">IF($I126="","",INDEX(Codes!$E$2:$E$108,MATCH("A7|"&amp;$I126,Codes!$A$2:$A$108,0)))</f>
        <v/>
      </c>
      <c r="BZ126" s="16" t="str">
        <f aca="false">IF($AU126="","",INDEX(Codes!$E$2:$E$108,MATCH("B8|"&amp;$AU126,Codes!$A$2:$A$108,0)))</f>
        <v/>
      </c>
      <c r="CA126" s="16" t="str">
        <f aca="false">IF($H126="","",INDEX(Codes!$E$2:$E$108,MATCH("A6|"&amp;$H126,Codes!$A$2:$A$108,0)))</f>
        <v/>
      </c>
      <c r="CB126" s="16" t="str">
        <f aca="false">IF($X126="","",IF($X126="phone",1,0))</f>
        <v/>
      </c>
      <c r="CC126" s="16" t="str">
        <f aca="false">IF($BC126="","",8-$BC126)</f>
        <v/>
      </c>
    </row>
    <row r="127" customFormat="false" ht="15" hidden="false" customHeight="false" outlineLevel="0" collapsed="false">
      <c r="BW127" s="16" t="str">
        <f aca="false">IF($R127="","",INDEX(Codes!$E$2:$E$108,MATCH("B1|"&amp;$R127,Codes!$A$2:$A$108,0)))</f>
        <v/>
      </c>
      <c r="BX127" s="16" t="str">
        <f aca="false">IF($Y127="","",INDEX(Codes!$E$2:$E$108,MATCH("B4|"&amp;$Y127,Codes!$A$2:$A$108,0)))</f>
        <v/>
      </c>
      <c r="BY127" s="16" t="str">
        <f aca="false">IF($I127="","",INDEX(Codes!$E$2:$E$108,MATCH("A7|"&amp;$I127,Codes!$A$2:$A$108,0)))</f>
        <v/>
      </c>
      <c r="BZ127" s="16" t="str">
        <f aca="false">IF($AU127="","",INDEX(Codes!$E$2:$E$108,MATCH("B8|"&amp;$AU127,Codes!$A$2:$A$108,0)))</f>
        <v/>
      </c>
      <c r="CA127" s="16" t="str">
        <f aca="false">IF($H127="","",INDEX(Codes!$E$2:$E$108,MATCH("A6|"&amp;$H127,Codes!$A$2:$A$108,0)))</f>
        <v/>
      </c>
      <c r="CB127" s="16" t="str">
        <f aca="false">IF($X127="","",IF($X127="phone",1,0))</f>
        <v/>
      </c>
      <c r="CC127" s="16" t="str">
        <f aca="false">IF($BC127="","",8-$BC127)</f>
        <v/>
      </c>
    </row>
    <row r="128" customFormat="false" ht="15" hidden="false" customHeight="false" outlineLevel="0" collapsed="false">
      <c r="BW128" s="16" t="str">
        <f aca="false">IF($R128="","",INDEX(Codes!$E$2:$E$108,MATCH("B1|"&amp;$R128,Codes!$A$2:$A$108,0)))</f>
        <v/>
      </c>
      <c r="BX128" s="16" t="str">
        <f aca="false">IF($Y128="","",INDEX(Codes!$E$2:$E$108,MATCH("B4|"&amp;$Y128,Codes!$A$2:$A$108,0)))</f>
        <v/>
      </c>
      <c r="BY128" s="16" t="str">
        <f aca="false">IF($I128="","",INDEX(Codes!$E$2:$E$108,MATCH("A7|"&amp;$I128,Codes!$A$2:$A$108,0)))</f>
        <v/>
      </c>
      <c r="BZ128" s="16" t="str">
        <f aca="false">IF($AU128="","",INDEX(Codes!$E$2:$E$108,MATCH("B8|"&amp;$AU128,Codes!$A$2:$A$108,0)))</f>
        <v/>
      </c>
      <c r="CA128" s="16" t="str">
        <f aca="false">IF($H128="","",INDEX(Codes!$E$2:$E$108,MATCH("A6|"&amp;$H128,Codes!$A$2:$A$108,0)))</f>
        <v/>
      </c>
      <c r="CB128" s="16" t="str">
        <f aca="false">IF($X128="","",IF($X128="phone",1,0))</f>
        <v/>
      </c>
      <c r="CC128" s="16" t="str">
        <f aca="false">IF($BC128="","",8-$BC128)</f>
        <v/>
      </c>
    </row>
    <row r="129" customFormat="false" ht="15" hidden="false" customHeight="false" outlineLevel="0" collapsed="false">
      <c r="BW129" s="16" t="str">
        <f aca="false">IF($R129="","",INDEX(Codes!$E$2:$E$108,MATCH("B1|"&amp;$R129,Codes!$A$2:$A$108,0)))</f>
        <v/>
      </c>
      <c r="BX129" s="16" t="str">
        <f aca="false">IF($Y129="","",INDEX(Codes!$E$2:$E$108,MATCH("B4|"&amp;$Y129,Codes!$A$2:$A$108,0)))</f>
        <v/>
      </c>
      <c r="BY129" s="16" t="str">
        <f aca="false">IF($I129="","",INDEX(Codes!$E$2:$E$108,MATCH("A7|"&amp;$I129,Codes!$A$2:$A$108,0)))</f>
        <v/>
      </c>
      <c r="BZ129" s="16" t="str">
        <f aca="false">IF($AU129="","",INDEX(Codes!$E$2:$E$108,MATCH("B8|"&amp;$AU129,Codes!$A$2:$A$108,0)))</f>
        <v/>
      </c>
      <c r="CA129" s="16" t="str">
        <f aca="false">IF($H129="","",INDEX(Codes!$E$2:$E$108,MATCH("A6|"&amp;$H129,Codes!$A$2:$A$108,0)))</f>
        <v/>
      </c>
      <c r="CB129" s="16" t="str">
        <f aca="false">IF($X129="","",IF($X129="phone",1,0))</f>
        <v/>
      </c>
      <c r="CC129" s="16" t="str">
        <f aca="false">IF($BC129="","",8-$BC129)</f>
        <v/>
      </c>
    </row>
    <row r="130" customFormat="false" ht="15" hidden="false" customHeight="false" outlineLevel="0" collapsed="false">
      <c r="BW130" s="16" t="str">
        <f aca="false">IF($R130="","",INDEX(Codes!$E$2:$E$108,MATCH("B1|"&amp;$R130,Codes!$A$2:$A$108,0)))</f>
        <v/>
      </c>
      <c r="BX130" s="16" t="str">
        <f aca="false">IF($Y130="","",INDEX(Codes!$E$2:$E$108,MATCH("B4|"&amp;$Y130,Codes!$A$2:$A$108,0)))</f>
        <v/>
      </c>
      <c r="BY130" s="16" t="str">
        <f aca="false">IF($I130="","",INDEX(Codes!$E$2:$E$108,MATCH("A7|"&amp;$I130,Codes!$A$2:$A$108,0)))</f>
        <v/>
      </c>
      <c r="BZ130" s="16" t="str">
        <f aca="false">IF($AU130="","",INDEX(Codes!$E$2:$E$108,MATCH("B8|"&amp;$AU130,Codes!$A$2:$A$108,0)))</f>
        <v/>
      </c>
      <c r="CA130" s="16" t="str">
        <f aca="false">IF($H130="","",INDEX(Codes!$E$2:$E$108,MATCH("A6|"&amp;$H130,Codes!$A$2:$A$108,0)))</f>
        <v/>
      </c>
      <c r="CB130" s="16" t="str">
        <f aca="false">IF($X130="","",IF($X130="phone",1,0))</f>
        <v/>
      </c>
      <c r="CC130" s="16" t="str">
        <f aca="false">IF($BC130="","",8-$BC130)</f>
        <v/>
      </c>
    </row>
    <row r="131" customFormat="false" ht="15" hidden="false" customHeight="false" outlineLevel="0" collapsed="false">
      <c r="BW131" s="16" t="str">
        <f aca="false">IF($R131="","",INDEX(Codes!$E$2:$E$108,MATCH("B1|"&amp;$R131,Codes!$A$2:$A$108,0)))</f>
        <v/>
      </c>
      <c r="BX131" s="16" t="str">
        <f aca="false">IF($Y131="","",INDEX(Codes!$E$2:$E$108,MATCH("B4|"&amp;$Y131,Codes!$A$2:$A$108,0)))</f>
        <v/>
      </c>
      <c r="BY131" s="16" t="str">
        <f aca="false">IF($I131="","",INDEX(Codes!$E$2:$E$108,MATCH("A7|"&amp;$I131,Codes!$A$2:$A$108,0)))</f>
        <v/>
      </c>
      <c r="BZ131" s="16" t="str">
        <f aca="false">IF($AU131="","",INDEX(Codes!$E$2:$E$108,MATCH("B8|"&amp;$AU131,Codes!$A$2:$A$108,0)))</f>
        <v/>
      </c>
      <c r="CA131" s="16" t="str">
        <f aca="false">IF($H131="","",INDEX(Codes!$E$2:$E$108,MATCH("A6|"&amp;$H131,Codes!$A$2:$A$108,0)))</f>
        <v/>
      </c>
      <c r="CB131" s="16" t="str">
        <f aca="false">IF($X131="","",IF($X131="phone",1,0))</f>
        <v/>
      </c>
      <c r="CC131" s="16" t="str">
        <f aca="false">IF($BC131="","",8-$BC131)</f>
        <v/>
      </c>
    </row>
    <row r="132" customFormat="false" ht="15" hidden="false" customHeight="false" outlineLevel="0" collapsed="false">
      <c r="BW132" s="16" t="str">
        <f aca="false">IF($R132="","",INDEX(Codes!$E$2:$E$108,MATCH("B1|"&amp;$R132,Codes!$A$2:$A$108,0)))</f>
        <v/>
      </c>
      <c r="BX132" s="16" t="str">
        <f aca="false">IF($Y132="","",INDEX(Codes!$E$2:$E$108,MATCH("B4|"&amp;$Y132,Codes!$A$2:$A$108,0)))</f>
        <v/>
      </c>
      <c r="BY132" s="16" t="str">
        <f aca="false">IF($I132="","",INDEX(Codes!$E$2:$E$108,MATCH("A7|"&amp;$I132,Codes!$A$2:$A$108,0)))</f>
        <v/>
      </c>
      <c r="BZ132" s="16" t="str">
        <f aca="false">IF($AU132="","",INDEX(Codes!$E$2:$E$108,MATCH("B8|"&amp;$AU132,Codes!$A$2:$A$108,0)))</f>
        <v/>
      </c>
      <c r="CA132" s="16" t="str">
        <f aca="false">IF($H132="","",INDEX(Codes!$E$2:$E$108,MATCH("A6|"&amp;$H132,Codes!$A$2:$A$108,0)))</f>
        <v/>
      </c>
      <c r="CB132" s="16" t="str">
        <f aca="false">IF($X132="","",IF($X132="phone",1,0))</f>
        <v/>
      </c>
      <c r="CC132" s="16" t="str">
        <f aca="false">IF($BC132="","",8-$BC132)</f>
        <v/>
      </c>
    </row>
    <row r="133" customFormat="false" ht="15" hidden="false" customHeight="false" outlineLevel="0" collapsed="false">
      <c r="BW133" s="16" t="str">
        <f aca="false">IF($R133="","",INDEX(Codes!$E$2:$E$108,MATCH("B1|"&amp;$R133,Codes!$A$2:$A$108,0)))</f>
        <v/>
      </c>
      <c r="BX133" s="16" t="str">
        <f aca="false">IF($Y133="","",INDEX(Codes!$E$2:$E$108,MATCH("B4|"&amp;$Y133,Codes!$A$2:$A$108,0)))</f>
        <v/>
      </c>
      <c r="BY133" s="16" t="str">
        <f aca="false">IF($I133="","",INDEX(Codes!$E$2:$E$108,MATCH("A7|"&amp;$I133,Codes!$A$2:$A$108,0)))</f>
        <v/>
      </c>
      <c r="BZ133" s="16" t="str">
        <f aca="false">IF($AU133="","",INDEX(Codes!$E$2:$E$108,MATCH("B8|"&amp;$AU133,Codes!$A$2:$A$108,0)))</f>
        <v/>
      </c>
      <c r="CA133" s="16" t="str">
        <f aca="false">IF($H133="","",INDEX(Codes!$E$2:$E$108,MATCH("A6|"&amp;$H133,Codes!$A$2:$A$108,0)))</f>
        <v/>
      </c>
      <c r="CB133" s="16" t="str">
        <f aca="false">IF($X133="","",IF($X133="phone",1,0))</f>
        <v/>
      </c>
      <c r="CC133" s="16" t="str">
        <f aca="false">IF($BC133="","",8-$BC133)</f>
        <v/>
      </c>
    </row>
    <row r="134" customFormat="false" ht="15" hidden="false" customHeight="false" outlineLevel="0" collapsed="false">
      <c r="BW134" s="16" t="str">
        <f aca="false">IF($R134="","",INDEX(Codes!$E$2:$E$108,MATCH("B1|"&amp;$R134,Codes!$A$2:$A$108,0)))</f>
        <v/>
      </c>
      <c r="BX134" s="16" t="str">
        <f aca="false">IF($Y134="","",INDEX(Codes!$E$2:$E$108,MATCH("B4|"&amp;$Y134,Codes!$A$2:$A$108,0)))</f>
        <v/>
      </c>
      <c r="BY134" s="16" t="str">
        <f aca="false">IF($I134="","",INDEX(Codes!$E$2:$E$108,MATCH("A7|"&amp;$I134,Codes!$A$2:$A$108,0)))</f>
        <v/>
      </c>
      <c r="BZ134" s="16" t="str">
        <f aca="false">IF($AU134="","",INDEX(Codes!$E$2:$E$108,MATCH("B8|"&amp;$AU134,Codes!$A$2:$A$108,0)))</f>
        <v/>
      </c>
      <c r="CA134" s="16" t="str">
        <f aca="false">IF($H134="","",INDEX(Codes!$E$2:$E$108,MATCH("A6|"&amp;$H134,Codes!$A$2:$A$108,0)))</f>
        <v/>
      </c>
      <c r="CB134" s="16" t="str">
        <f aca="false">IF($X134="","",IF($X134="phone",1,0))</f>
        <v/>
      </c>
      <c r="CC134" s="16" t="str">
        <f aca="false">IF($BC134="","",8-$BC134)</f>
        <v/>
      </c>
    </row>
    <row r="135" customFormat="false" ht="15" hidden="false" customHeight="false" outlineLevel="0" collapsed="false">
      <c r="BW135" s="16" t="str">
        <f aca="false">IF($R135="","",INDEX(Codes!$E$2:$E$108,MATCH("B1|"&amp;$R135,Codes!$A$2:$A$108,0)))</f>
        <v/>
      </c>
      <c r="BX135" s="16" t="str">
        <f aca="false">IF($Y135="","",INDEX(Codes!$E$2:$E$108,MATCH("B4|"&amp;$Y135,Codes!$A$2:$A$108,0)))</f>
        <v/>
      </c>
      <c r="BY135" s="16" t="str">
        <f aca="false">IF($I135="","",INDEX(Codes!$E$2:$E$108,MATCH("A7|"&amp;$I135,Codes!$A$2:$A$108,0)))</f>
        <v/>
      </c>
      <c r="BZ135" s="16" t="str">
        <f aca="false">IF($AU135="","",INDEX(Codes!$E$2:$E$108,MATCH("B8|"&amp;$AU135,Codes!$A$2:$A$108,0)))</f>
        <v/>
      </c>
      <c r="CA135" s="16" t="str">
        <f aca="false">IF($H135="","",INDEX(Codes!$E$2:$E$108,MATCH("A6|"&amp;$H135,Codes!$A$2:$A$108,0)))</f>
        <v/>
      </c>
      <c r="CB135" s="16" t="str">
        <f aca="false">IF($X135="","",IF($X135="phone",1,0))</f>
        <v/>
      </c>
      <c r="CC135" s="16" t="str">
        <f aca="false">IF($BC135="","",8-$BC135)</f>
        <v/>
      </c>
    </row>
    <row r="136" customFormat="false" ht="15" hidden="false" customHeight="false" outlineLevel="0" collapsed="false">
      <c r="BW136" s="16" t="str">
        <f aca="false">IF($R136="","",INDEX(Codes!$E$2:$E$108,MATCH("B1|"&amp;$R136,Codes!$A$2:$A$108,0)))</f>
        <v/>
      </c>
      <c r="BX136" s="16" t="str">
        <f aca="false">IF($Y136="","",INDEX(Codes!$E$2:$E$108,MATCH("B4|"&amp;$Y136,Codes!$A$2:$A$108,0)))</f>
        <v/>
      </c>
      <c r="BY136" s="16" t="str">
        <f aca="false">IF($I136="","",INDEX(Codes!$E$2:$E$108,MATCH("A7|"&amp;$I136,Codes!$A$2:$A$108,0)))</f>
        <v/>
      </c>
      <c r="BZ136" s="16" t="str">
        <f aca="false">IF($AU136="","",INDEX(Codes!$E$2:$E$108,MATCH("B8|"&amp;$AU136,Codes!$A$2:$A$108,0)))</f>
        <v/>
      </c>
      <c r="CA136" s="16" t="str">
        <f aca="false">IF($H136="","",INDEX(Codes!$E$2:$E$108,MATCH("A6|"&amp;$H136,Codes!$A$2:$A$108,0)))</f>
        <v/>
      </c>
      <c r="CB136" s="16" t="str">
        <f aca="false">IF($X136="","",IF($X136="phone",1,0))</f>
        <v/>
      </c>
      <c r="CC136" s="16" t="str">
        <f aca="false">IF($BC136="","",8-$BC136)</f>
        <v/>
      </c>
    </row>
    <row r="137" customFormat="false" ht="15" hidden="false" customHeight="false" outlineLevel="0" collapsed="false">
      <c r="BW137" s="16" t="str">
        <f aca="false">IF($R137="","",INDEX(Codes!$E$2:$E$108,MATCH("B1|"&amp;$R137,Codes!$A$2:$A$108,0)))</f>
        <v/>
      </c>
      <c r="BX137" s="16" t="str">
        <f aca="false">IF($Y137="","",INDEX(Codes!$E$2:$E$108,MATCH("B4|"&amp;$Y137,Codes!$A$2:$A$108,0)))</f>
        <v/>
      </c>
      <c r="BY137" s="16" t="str">
        <f aca="false">IF($I137="","",INDEX(Codes!$E$2:$E$108,MATCH("A7|"&amp;$I137,Codes!$A$2:$A$108,0)))</f>
        <v/>
      </c>
      <c r="BZ137" s="16" t="str">
        <f aca="false">IF($AU137="","",INDEX(Codes!$E$2:$E$108,MATCH("B8|"&amp;$AU137,Codes!$A$2:$A$108,0)))</f>
        <v/>
      </c>
      <c r="CA137" s="16" t="str">
        <f aca="false">IF($H137="","",INDEX(Codes!$E$2:$E$108,MATCH("A6|"&amp;$H137,Codes!$A$2:$A$108,0)))</f>
        <v/>
      </c>
      <c r="CB137" s="16" t="str">
        <f aca="false">IF($X137="","",IF($X137="phone",1,0))</f>
        <v/>
      </c>
      <c r="CC137" s="16" t="str">
        <f aca="false">IF($BC137="","",8-$BC137)</f>
        <v/>
      </c>
    </row>
    <row r="138" customFormat="false" ht="15" hidden="false" customHeight="false" outlineLevel="0" collapsed="false">
      <c r="BW138" s="16" t="str">
        <f aca="false">IF($R138="","",INDEX(Codes!$E$2:$E$108,MATCH("B1|"&amp;$R138,Codes!$A$2:$A$108,0)))</f>
        <v/>
      </c>
      <c r="BX138" s="16" t="str">
        <f aca="false">IF($Y138="","",INDEX(Codes!$E$2:$E$108,MATCH("B4|"&amp;$Y138,Codes!$A$2:$A$108,0)))</f>
        <v/>
      </c>
      <c r="BY138" s="16" t="str">
        <f aca="false">IF($I138="","",INDEX(Codes!$E$2:$E$108,MATCH("A7|"&amp;$I138,Codes!$A$2:$A$108,0)))</f>
        <v/>
      </c>
      <c r="BZ138" s="16" t="str">
        <f aca="false">IF($AU138="","",INDEX(Codes!$E$2:$E$108,MATCH("B8|"&amp;$AU138,Codes!$A$2:$A$108,0)))</f>
        <v/>
      </c>
      <c r="CA138" s="16" t="str">
        <f aca="false">IF($H138="","",INDEX(Codes!$E$2:$E$108,MATCH("A6|"&amp;$H138,Codes!$A$2:$A$108,0)))</f>
        <v/>
      </c>
      <c r="CB138" s="16" t="str">
        <f aca="false">IF($X138="","",IF($X138="phone",1,0))</f>
        <v/>
      </c>
      <c r="CC138" s="16" t="str">
        <f aca="false">IF($BC138="","",8-$BC138)</f>
        <v/>
      </c>
    </row>
    <row r="139" customFormat="false" ht="15" hidden="false" customHeight="false" outlineLevel="0" collapsed="false">
      <c r="BW139" s="16" t="str">
        <f aca="false">IF($R139="","",INDEX(Codes!$E$2:$E$108,MATCH("B1|"&amp;$R139,Codes!$A$2:$A$108,0)))</f>
        <v/>
      </c>
      <c r="BX139" s="16" t="str">
        <f aca="false">IF($Y139="","",INDEX(Codes!$E$2:$E$108,MATCH("B4|"&amp;$Y139,Codes!$A$2:$A$108,0)))</f>
        <v/>
      </c>
      <c r="BY139" s="16" t="str">
        <f aca="false">IF($I139="","",INDEX(Codes!$E$2:$E$108,MATCH("A7|"&amp;$I139,Codes!$A$2:$A$108,0)))</f>
        <v/>
      </c>
      <c r="BZ139" s="16" t="str">
        <f aca="false">IF($AU139="","",INDEX(Codes!$E$2:$E$108,MATCH("B8|"&amp;$AU139,Codes!$A$2:$A$108,0)))</f>
        <v/>
      </c>
      <c r="CA139" s="16" t="str">
        <f aca="false">IF($H139="","",INDEX(Codes!$E$2:$E$108,MATCH("A6|"&amp;$H139,Codes!$A$2:$A$108,0)))</f>
        <v/>
      </c>
      <c r="CB139" s="16" t="str">
        <f aca="false">IF($X139="","",IF($X139="phone",1,0))</f>
        <v/>
      </c>
      <c r="CC139" s="16" t="str">
        <f aca="false">IF($BC139="","",8-$BC139)</f>
        <v/>
      </c>
    </row>
    <row r="140" customFormat="false" ht="15" hidden="false" customHeight="false" outlineLevel="0" collapsed="false">
      <c r="BW140" s="16" t="str">
        <f aca="false">IF($R140="","",INDEX(Codes!$E$2:$E$108,MATCH("B1|"&amp;$R140,Codes!$A$2:$A$108,0)))</f>
        <v/>
      </c>
      <c r="BX140" s="16" t="str">
        <f aca="false">IF($Y140="","",INDEX(Codes!$E$2:$E$108,MATCH("B4|"&amp;$Y140,Codes!$A$2:$A$108,0)))</f>
        <v/>
      </c>
      <c r="BY140" s="16" t="str">
        <f aca="false">IF($I140="","",INDEX(Codes!$E$2:$E$108,MATCH("A7|"&amp;$I140,Codes!$A$2:$A$108,0)))</f>
        <v/>
      </c>
      <c r="BZ140" s="16" t="str">
        <f aca="false">IF($AU140="","",INDEX(Codes!$E$2:$E$108,MATCH("B8|"&amp;$AU140,Codes!$A$2:$A$108,0)))</f>
        <v/>
      </c>
      <c r="CA140" s="16" t="str">
        <f aca="false">IF($H140="","",INDEX(Codes!$E$2:$E$108,MATCH("A6|"&amp;$H140,Codes!$A$2:$A$108,0)))</f>
        <v/>
      </c>
      <c r="CB140" s="16" t="str">
        <f aca="false">IF($X140="","",IF($X140="phone",1,0))</f>
        <v/>
      </c>
      <c r="CC140" s="16" t="str">
        <f aca="false">IF($BC140="","",8-$BC140)</f>
        <v/>
      </c>
    </row>
    <row r="141" customFormat="false" ht="15" hidden="false" customHeight="false" outlineLevel="0" collapsed="false">
      <c r="BW141" s="16" t="str">
        <f aca="false">IF($R141="","",INDEX(Codes!$E$2:$E$108,MATCH("B1|"&amp;$R141,Codes!$A$2:$A$108,0)))</f>
        <v/>
      </c>
      <c r="BX141" s="16" t="str">
        <f aca="false">IF($Y141="","",INDEX(Codes!$E$2:$E$108,MATCH("B4|"&amp;$Y141,Codes!$A$2:$A$108,0)))</f>
        <v/>
      </c>
      <c r="BY141" s="16" t="str">
        <f aca="false">IF($I141="","",INDEX(Codes!$E$2:$E$108,MATCH("A7|"&amp;$I141,Codes!$A$2:$A$108,0)))</f>
        <v/>
      </c>
      <c r="BZ141" s="16" t="str">
        <f aca="false">IF($AU141="","",INDEX(Codes!$E$2:$E$108,MATCH("B8|"&amp;$AU141,Codes!$A$2:$A$108,0)))</f>
        <v/>
      </c>
      <c r="CA141" s="16" t="str">
        <f aca="false">IF($H141="","",INDEX(Codes!$E$2:$E$108,MATCH("A6|"&amp;$H141,Codes!$A$2:$A$108,0)))</f>
        <v/>
      </c>
      <c r="CB141" s="16" t="str">
        <f aca="false">IF($X141="","",IF($X141="phone",1,0))</f>
        <v/>
      </c>
      <c r="CC141" s="16" t="str">
        <f aca="false">IF($BC141="","",8-$BC141)</f>
        <v/>
      </c>
    </row>
    <row r="142" customFormat="false" ht="15" hidden="false" customHeight="false" outlineLevel="0" collapsed="false">
      <c r="BW142" s="16" t="str">
        <f aca="false">IF($R142="","",INDEX(Codes!$E$2:$E$108,MATCH("B1|"&amp;$R142,Codes!$A$2:$A$108,0)))</f>
        <v/>
      </c>
      <c r="BX142" s="16" t="str">
        <f aca="false">IF($Y142="","",INDEX(Codes!$E$2:$E$108,MATCH("B4|"&amp;$Y142,Codes!$A$2:$A$108,0)))</f>
        <v/>
      </c>
      <c r="BY142" s="16" t="str">
        <f aca="false">IF($I142="","",INDEX(Codes!$E$2:$E$108,MATCH("A7|"&amp;$I142,Codes!$A$2:$A$108,0)))</f>
        <v/>
      </c>
      <c r="BZ142" s="16" t="str">
        <f aca="false">IF($AU142="","",INDEX(Codes!$E$2:$E$108,MATCH("B8|"&amp;$AU142,Codes!$A$2:$A$108,0)))</f>
        <v/>
      </c>
      <c r="CA142" s="16" t="str">
        <f aca="false">IF($H142="","",INDEX(Codes!$E$2:$E$108,MATCH("A6|"&amp;$H142,Codes!$A$2:$A$108,0)))</f>
        <v/>
      </c>
      <c r="CB142" s="16" t="str">
        <f aca="false">IF($X142="","",IF($X142="phone",1,0))</f>
        <v/>
      </c>
      <c r="CC142" s="16" t="str">
        <f aca="false">IF($BC142="","",8-$BC142)</f>
        <v/>
      </c>
    </row>
    <row r="143" customFormat="false" ht="15" hidden="false" customHeight="false" outlineLevel="0" collapsed="false">
      <c r="BW143" s="16" t="str">
        <f aca="false">IF($R143="","",INDEX(Codes!$E$2:$E$108,MATCH("B1|"&amp;$R143,Codes!$A$2:$A$108,0)))</f>
        <v/>
      </c>
      <c r="BX143" s="16" t="str">
        <f aca="false">IF($Y143="","",INDEX(Codes!$E$2:$E$108,MATCH("B4|"&amp;$Y143,Codes!$A$2:$A$108,0)))</f>
        <v/>
      </c>
      <c r="BY143" s="16" t="str">
        <f aca="false">IF($I143="","",INDEX(Codes!$E$2:$E$108,MATCH("A7|"&amp;$I143,Codes!$A$2:$A$108,0)))</f>
        <v/>
      </c>
      <c r="BZ143" s="16" t="str">
        <f aca="false">IF($AU143="","",INDEX(Codes!$E$2:$E$108,MATCH("B8|"&amp;$AU143,Codes!$A$2:$A$108,0)))</f>
        <v/>
      </c>
      <c r="CA143" s="16" t="str">
        <f aca="false">IF($H143="","",INDEX(Codes!$E$2:$E$108,MATCH("A6|"&amp;$H143,Codes!$A$2:$A$108,0)))</f>
        <v/>
      </c>
      <c r="CB143" s="16" t="str">
        <f aca="false">IF($X143="","",IF($X143="phone",1,0))</f>
        <v/>
      </c>
      <c r="CC143" s="16" t="str">
        <f aca="false">IF($BC143="","",8-$BC143)</f>
        <v/>
      </c>
    </row>
    <row r="144" customFormat="false" ht="15" hidden="false" customHeight="false" outlineLevel="0" collapsed="false">
      <c r="BW144" s="16" t="str">
        <f aca="false">IF($R144="","",INDEX(Codes!$E$2:$E$108,MATCH("B1|"&amp;$R144,Codes!$A$2:$A$108,0)))</f>
        <v/>
      </c>
      <c r="BX144" s="16" t="str">
        <f aca="false">IF($Y144="","",INDEX(Codes!$E$2:$E$108,MATCH("B4|"&amp;$Y144,Codes!$A$2:$A$108,0)))</f>
        <v/>
      </c>
      <c r="BY144" s="16" t="str">
        <f aca="false">IF($I144="","",INDEX(Codes!$E$2:$E$108,MATCH("A7|"&amp;$I144,Codes!$A$2:$A$108,0)))</f>
        <v/>
      </c>
      <c r="BZ144" s="16" t="str">
        <f aca="false">IF($AU144="","",INDEX(Codes!$E$2:$E$108,MATCH("B8|"&amp;$AU144,Codes!$A$2:$A$108,0)))</f>
        <v/>
      </c>
      <c r="CA144" s="16" t="str">
        <f aca="false">IF($H144="","",INDEX(Codes!$E$2:$E$108,MATCH("A6|"&amp;$H144,Codes!$A$2:$A$108,0)))</f>
        <v/>
      </c>
      <c r="CB144" s="16" t="str">
        <f aca="false">IF($X144="","",IF($X144="phone",1,0))</f>
        <v/>
      </c>
      <c r="CC144" s="16" t="str">
        <f aca="false">IF($BC144="","",8-$BC144)</f>
        <v/>
      </c>
    </row>
    <row r="145" customFormat="false" ht="15" hidden="false" customHeight="false" outlineLevel="0" collapsed="false">
      <c r="BW145" s="16" t="str">
        <f aca="false">IF($R145="","",INDEX(Codes!$E$2:$E$108,MATCH("B1|"&amp;$R145,Codes!$A$2:$A$108,0)))</f>
        <v/>
      </c>
      <c r="BX145" s="16" t="str">
        <f aca="false">IF($Y145="","",INDEX(Codes!$E$2:$E$108,MATCH("B4|"&amp;$Y145,Codes!$A$2:$A$108,0)))</f>
        <v/>
      </c>
      <c r="BY145" s="16" t="str">
        <f aca="false">IF($I145="","",INDEX(Codes!$E$2:$E$108,MATCH("A7|"&amp;$I145,Codes!$A$2:$A$108,0)))</f>
        <v/>
      </c>
      <c r="BZ145" s="16" t="str">
        <f aca="false">IF($AU145="","",INDEX(Codes!$E$2:$E$108,MATCH("B8|"&amp;$AU145,Codes!$A$2:$A$108,0)))</f>
        <v/>
      </c>
      <c r="CA145" s="16" t="str">
        <f aca="false">IF($H145="","",INDEX(Codes!$E$2:$E$108,MATCH("A6|"&amp;$H145,Codes!$A$2:$A$108,0)))</f>
        <v/>
      </c>
      <c r="CB145" s="16" t="str">
        <f aca="false">IF($X145="","",IF($X145="phone",1,0))</f>
        <v/>
      </c>
      <c r="CC145" s="16" t="str">
        <f aca="false">IF($BC145="","",8-$BC145)</f>
        <v/>
      </c>
    </row>
    <row r="146" customFormat="false" ht="15" hidden="false" customHeight="false" outlineLevel="0" collapsed="false">
      <c r="BW146" s="16" t="str">
        <f aca="false">IF($R146="","",INDEX(Codes!$E$2:$E$108,MATCH("B1|"&amp;$R146,Codes!$A$2:$A$108,0)))</f>
        <v/>
      </c>
      <c r="BX146" s="16" t="str">
        <f aca="false">IF($Y146="","",INDEX(Codes!$E$2:$E$108,MATCH("B4|"&amp;$Y146,Codes!$A$2:$A$108,0)))</f>
        <v/>
      </c>
      <c r="BY146" s="16" t="str">
        <f aca="false">IF($I146="","",INDEX(Codes!$E$2:$E$108,MATCH("A7|"&amp;$I146,Codes!$A$2:$A$108,0)))</f>
        <v/>
      </c>
      <c r="BZ146" s="16" t="str">
        <f aca="false">IF($AU146="","",INDEX(Codes!$E$2:$E$108,MATCH("B8|"&amp;$AU146,Codes!$A$2:$A$108,0)))</f>
        <v/>
      </c>
      <c r="CA146" s="16" t="str">
        <f aca="false">IF($H146="","",INDEX(Codes!$E$2:$E$108,MATCH("A6|"&amp;$H146,Codes!$A$2:$A$108,0)))</f>
        <v/>
      </c>
      <c r="CB146" s="16" t="str">
        <f aca="false">IF($X146="","",IF($X146="phone",1,0))</f>
        <v/>
      </c>
      <c r="CC146" s="16" t="str">
        <f aca="false">IF($BC146="","",8-$BC146)</f>
        <v/>
      </c>
    </row>
    <row r="147" customFormat="false" ht="15" hidden="false" customHeight="false" outlineLevel="0" collapsed="false">
      <c r="BW147" s="16" t="str">
        <f aca="false">IF($R147="","",INDEX(Codes!$E$2:$E$108,MATCH("B1|"&amp;$R147,Codes!$A$2:$A$108,0)))</f>
        <v/>
      </c>
      <c r="BX147" s="16" t="str">
        <f aca="false">IF($Y147="","",INDEX(Codes!$E$2:$E$108,MATCH("B4|"&amp;$Y147,Codes!$A$2:$A$108,0)))</f>
        <v/>
      </c>
      <c r="BY147" s="16" t="str">
        <f aca="false">IF($I147="","",INDEX(Codes!$E$2:$E$108,MATCH("A7|"&amp;$I147,Codes!$A$2:$A$108,0)))</f>
        <v/>
      </c>
      <c r="BZ147" s="16" t="str">
        <f aca="false">IF($AU147="","",INDEX(Codes!$E$2:$E$108,MATCH("B8|"&amp;$AU147,Codes!$A$2:$A$108,0)))</f>
        <v/>
      </c>
      <c r="CA147" s="16" t="str">
        <f aca="false">IF($H147="","",INDEX(Codes!$E$2:$E$108,MATCH("A6|"&amp;$H147,Codes!$A$2:$A$108,0)))</f>
        <v/>
      </c>
      <c r="CB147" s="16" t="str">
        <f aca="false">IF($X147="","",IF($X147="phone",1,0))</f>
        <v/>
      </c>
      <c r="CC147" s="16" t="str">
        <f aca="false">IF($BC147="","",8-$BC147)</f>
        <v/>
      </c>
    </row>
    <row r="148" customFormat="false" ht="15" hidden="false" customHeight="false" outlineLevel="0" collapsed="false">
      <c r="BW148" s="16" t="str">
        <f aca="false">IF($R148="","",INDEX(Codes!$E$2:$E$108,MATCH("B1|"&amp;$R148,Codes!$A$2:$A$108,0)))</f>
        <v/>
      </c>
      <c r="BX148" s="16" t="str">
        <f aca="false">IF($Y148="","",INDEX(Codes!$E$2:$E$108,MATCH("B4|"&amp;$Y148,Codes!$A$2:$A$108,0)))</f>
        <v/>
      </c>
      <c r="BY148" s="16" t="str">
        <f aca="false">IF($I148="","",INDEX(Codes!$E$2:$E$108,MATCH("A7|"&amp;$I148,Codes!$A$2:$A$108,0)))</f>
        <v/>
      </c>
      <c r="BZ148" s="16" t="str">
        <f aca="false">IF($AU148="","",INDEX(Codes!$E$2:$E$108,MATCH("B8|"&amp;$AU148,Codes!$A$2:$A$108,0)))</f>
        <v/>
      </c>
      <c r="CA148" s="16" t="str">
        <f aca="false">IF($H148="","",INDEX(Codes!$E$2:$E$108,MATCH("A6|"&amp;$H148,Codes!$A$2:$A$108,0)))</f>
        <v/>
      </c>
      <c r="CB148" s="16" t="str">
        <f aca="false">IF($X148="","",IF($X148="phone",1,0))</f>
        <v/>
      </c>
      <c r="CC148" s="16" t="str">
        <f aca="false">IF($BC148="","",8-$BC148)</f>
        <v/>
      </c>
    </row>
    <row r="149" customFormat="false" ht="15" hidden="false" customHeight="false" outlineLevel="0" collapsed="false">
      <c r="BW149" s="16" t="str">
        <f aca="false">IF($R149="","",INDEX(Codes!$E$2:$E$108,MATCH("B1|"&amp;$R149,Codes!$A$2:$A$108,0)))</f>
        <v/>
      </c>
      <c r="BX149" s="16" t="str">
        <f aca="false">IF($Y149="","",INDEX(Codes!$E$2:$E$108,MATCH("B4|"&amp;$Y149,Codes!$A$2:$A$108,0)))</f>
        <v/>
      </c>
      <c r="BY149" s="16" t="str">
        <f aca="false">IF($I149="","",INDEX(Codes!$E$2:$E$108,MATCH("A7|"&amp;$I149,Codes!$A$2:$A$108,0)))</f>
        <v/>
      </c>
      <c r="BZ149" s="16" t="str">
        <f aca="false">IF($AU149="","",INDEX(Codes!$E$2:$E$108,MATCH("B8|"&amp;$AU149,Codes!$A$2:$A$108,0)))</f>
        <v/>
      </c>
      <c r="CA149" s="16" t="str">
        <f aca="false">IF($H149="","",INDEX(Codes!$E$2:$E$108,MATCH("A6|"&amp;$H149,Codes!$A$2:$A$108,0)))</f>
        <v/>
      </c>
      <c r="CB149" s="16" t="str">
        <f aca="false">IF($X149="","",IF($X149="phone",1,0))</f>
        <v/>
      </c>
      <c r="CC149" s="16" t="str">
        <f aca="false">IF($BC149="","",8-$BC149)</f>
        <v/>
      </c>
    </row>
    <row r="150" customFormat="false" ht="15" hidden="false" customHeight="false" outlineLevel="0" collapsed="false">
      <c r="BW150" s="16" t="str">
        <f aca="false">IF($R150="","",INDEX(Codes!$E$2:$E$108,MATCH("B1|"&amp;$R150,Codes!$A$2:$A$108,0)))</f>
        <v/>
      </c>
      <c r="BX150" s="16" t="str">
        <f aca="false">IF($Y150="","",INDEX(Codes!$E$2:$E$108,MATCH("B4|"&amp;$Y150,Codes!$A$2:$A$108,0)))</f>
        <v/>
      </c>
      <c r="BY150" s="16" t="str">
        <f aca="false">IF($I150="","",INDEX(Codes!$E$2:$E$108,MATCH("A7|"&amp;$I150,Codes!$A$2:$A$108,0)))</f>
        <v/>
      </c>
      <c r="BZ150" s="16" t="str">
        <f aca="false">IF($AU150="","",INDEX(Codes!$E$2:$E$108,MATCH("B8|"&amp;$AU150,Codes!$A$2:$A$108,0)))</f>
        <v/>
      </c>
      <c r="CA150" s="16" t="str">
        <f aca="false">IF($H150="","",INDEX(Codes!$E$2:$E$108,MATCH("A6|"&amp;$H150,Codes!$A$2:$A$108,0)))</f>
        <v/>
      </c>
      <c r="CB150" s="16" t="str">
        <f aca="false">IF($X150="","",IF($X150="phone",1,0))</f>
        <v/>
      </c>
      <c r="CC150" s="16" t="str">
        <f aca="false">IF($BC150="","",8-$BC150)</f>
        <v/>
      </c>
    </row>
    <row r="151" customFormat="false" ht="15" hidden="false" customHeight="false" outlineLevel="0" collapsed="false">
      <c r="BW151" s="16" t="str">
        <f aca="false">IF($R151="","",INDEX(Codes!$E$2:$E$108,MATCH("B1|"&amp;$R151,Codes!$A$2:$A$108,0)))</f>
        <v/>
      </c>
      <c r="BX151" s="16" t="str">
        <f aca="false">IF($Y151="","",INDEX(Codes!$E$2:$E$108,MATCH("B4|"&amp;$Y151,Codes!$A$2:$A$108,0)))</f>
        <v/>
      </c>
      <c r="BY151" s="16" t="str">
        <f aca="false">IF($I151="","",INDEX(Codes!$E$2:$E$108,MATCH("A7|"&amp;$I151,Codes!$A$2:$A$108,0)))</f>
        <v/>
      </c>
      <c r="BZ151" s="16" t="str">
        <f aca="false">IF($AU151="","",INDEX(Codes!$E$2:$E$108,MATCH("B8|"&amp;$AU151,Codes!$A$2:$A$108,0)))</f>
        <v/>
      </c>
      <c r="CA151" s="16" t="str">
        <f aca="false">IF($H151="","",INDEX(Codes!$E$2:$E$108,MATCH("A6|"&amp;$H151,Codes!$A$2:$A$108,0)))</f>
        <v/>
      </c>
      <c r="CB151" s="16" t="str">
        <f aca="false">IF($X151="","",IF($X151="phone",1,0))</f>
        <v/>
      </c>
      <c r="CC151" s="16" t="str">
        <f aca="false">IF($BC151="","",8-$BC151)</f>
        <v/>
      </c>
    </row>
    <row r="152" customFormat="false" ht="15" hidden="false" customHeight="false" outlineLevel="0" collapsed="false">
      <c r="BW152" s="16" t="str">
        <f aca="false">IF($R152="","",INDEX(Codes!$E$2:$E$108,MATCH("B1|"&amp;$R152,Codes!$A$2:$A$108,0)))</f>
        <v/>
      </c>
      <c r="BX152" s="16" t="str">
        <f aca="false">IF($Y152="","",INDEX(Codes!$E$2:$E$108,MATCH("B4|"&amp;$Y152,Codes!$A$2:$A$108,0)))</f>
        <v/>
      </c>
      <c r="BY152" s="16" t="str">
        <f aca="false">IF($I152="","",INDEX(Codes!$E$2:$E$108,MATCH("A7|"&amp;$I152,Codes!$A$2:$A$108,0)))</f>
        <v/>
      </c>
      <c r="BZ152" s="16" t="str">
        <f aca="false">IF($AU152="","",INDEX(Codes!$E$2:$E$108,MATCH("B8|"&amp;$AU152,Codes!$A$2:$A$108,0)))</f>
        <v/>
      </c>
      <c r="CA152" s="16" t="str">
        <f aca="false">IF($H152="","",INDEX(Codes!$E$2:$E$108,MATCH("A6|"&amp;$H152,Codes!$A$2:$A$108,0)))</f>
        <v/>
      </c>
      <c r="CB152" s="16" t="str">
        <f aca="false">IF($X152="","",IF($X152="phone",1,0))</f>
        <v/>
      </c>
      <c r="CC152" s="16" t="str">
        <f aca="false">IF($BC152="","",8-$BC152)</f>
        <v/>
      </c>
    </row>
    <row r="153" customFormat="false" ht="15" hidden="false" customHeight="false" outlineLevel="0" collapsed="false">
      <c r="BW153" s="16" t="str">
        <f aca="false">IF($R153="","",INDEX(Codes!$E$2:$E$108,MATCH("B1|"&amp;$R153,Codes!$A$2:$A$108,0)))</f>
        <v/>
      </c>
      <c r="BX153" s="16" t="str">
        <f aca="false">IF($Y153="","",INDEX(Codes!$E$2:$E$108,MATCH("B4|"&amp;$Y153,Codes!$A$2:$A$108,0)))</f>
        <v/>
      </c>
      <c r="BY153" s="16" t="str">
        <f aca="false">IF($I153="","",INDEX(Codes!$E$2:$E$108,MATCH("A7|"&amp;$I153,Codes!$A$2:$A$108,0)))</f>
        <v/>
      </c>
      <c r="BZ153" s="16" t="str">
        <f aca="false">IF($AU153="","",INDEX(Codes!$E$2:$E$108,MATCH("B8|"&amp;$AU153,Codes!$A$2:$A$108,0)))</f>
        <v/>
      </c>
      <c r="CA153" s="16" t="str">
        <f aca="false">IF($H153="","",INDEX(Codes!$E$2:$E$108,MATCH("A6|"&amp;$H153,Codes!$A$2:$A$108,0)))</f>
        <v/>
      </c>
      <c r="CB153" s="16" t="str">
        <f aca="false">IF($X153="","",IF($X153="phone",1,0))</f>
        <v/>
      </c>
      <c r="CC153" s="16" t="str">
        <f aca="false">IF($BC153="","",8-$BC153)</f>
        <v/>
      </c>
    </row>
    <row r="154" customFormat="false" ht="15" hidden="false" customHeight="false" outlineLevel="0" collapsed="false">
      <c r="BW154" s="16" t="str">
        <f aca="false">IF($R154="","",INDEX(Codes!$E$2:$E$108,MATCH("B1|"&amp;$R154,Codes!$A$2:$A$108,0)))</f>
        <v/>
      </c>
      <c r="BX154" s="16" t="str">
        <f aca="false">IF($Y154="","",INDEX(Codes!$E$2:$E$108,MATCH("B4|"&amp;$Y154,Codes!$A$2:$A$108,0)))</f>
        <v/>
      </c>
      <c r="BY154" s="16" t="str">
        <f aca="false">IF($I154="","",INDEX(Codes!$E$2:$E$108,MATCH("A7|"&amp;$I154,Codes!$A$2:$A$108,0)))</f>
        <v/>
      </c>
      <c r="BZ154" s="16" t="str">
        <f aca="false">IF($AU154="","",INDEX(Codes!$E$2:$E$108,MATCH("B8|"&amp;$AU154,Codes!$A$2:$A$108,0)))</f>
        <v/>
      </c>
      <c r="CA154" s="16" t="str">
        <f aca="false">IF($H154="","",INDEX(Codes!$E$2:$E$108,MATCH("A6|"&amp;$H154,Codes!$A$2:$A$108,0)))</f>
        <v/>
      </c>
      <c r="CB154" s="16" t="str">
        <f aca="false">IF($X154="","",IF($X154="phone",1,0))</f>
        <v/>
      </c>
      <c r="CC154" s="16" t="str">
        <f aca="false">IF($BC154="","",8-$BC154)</f>
        <v/>
      </c>
    </row>
    <row r="155" customFormat="false" ht="15" hidden="false" customHeight="false" outlineLevel="0" collapsed="false">
      <c r="BW155" s="16" t="str">
        <f aca="false">IF($R155="","",INDEX(Codes!$E$2:$E$108,MATCH("B1|"&amp;$R155,Codes!$A$2:$A$108,0)))</f>
        <v/>
      </c>
      <c r="BX155" s="16" t="str">
        <f aca="false">IF($Y155="","",INDEX(Codes!$E$2:$E$108,MATCH("B4|"&amp;$Y155,Codes!$A$2:$A$108,0)))</f>
        <v/>
      </c>
      <c r="BY155" s="16" t="str">
        <f aca="false">IF($I155="","",INDEX(Codes!$E$2:$E$108,MATCH("A7|"&amp;$I155,Codes!$A$2:$A$108,0)))</f>
        <v/>
      </c>
      <c r="BZ155" s="16" t="str">
        <f aca="false">IF($AU155="","",INDEX(Codes!$E$2:$E$108,MATCH("B8|"&amp;$AU155,Codes!$A$2:$A$108,0)))</f>
        <v/>
      </c>
      <c r="CA155" s="16" t="str">
        <f aca="false">IF($H155="","",INDEX(Codes!$E$2:$E$108,MATCH("A6|"&amp;$H155,Codes!$A$2:$A$108,0)))</f>
        <v/>
      </c>
      <c r="CB155" s="16" t="str">
        <f aca="false">IF($X155="","",IF($X155="phone",1,0))</f>
        <v/>
      </c>
      <c r="CC155" s="16" t="str">
        <f aca="false">IF($BC155="","",8-$BC155)</f>
        <v/>
      </c>
    </row>
    <row r="156" customFormat="false" ht="15" hidden="false" customHeight="false" outlineLevel="0" collapsed="false">
      <c r="BW156" s="16" t="str">
        <f aca="false">IF($R156="","",INDEX(Codes!$E$2:$E$108,MATCH("B1|"&amp;$R156,Codes!$A$2:$A$108,0)))</f>
        <v/>
      </c>
      <c r="BX156" s="16" t="str">
        <f aca="false">IF($Y156="","",INDEX(Codes!$E$2:$E$108,MATCH("B4|"&amp;$Y156,Codes!$A$2:$A$108,0)))</f>
        <v/>
      </c>
      <c r="BY156" s="16" t="str">
        <f aca="false">IF($I156="","",INDEX(Codes!$E$2:$E$108,MATCH("A7|"&amp;$I156,Codes!$A$2:$A$108,0)))</f>
        <v/>
      </c>
      <c r="BZ156" s="16" t="str">
        <f aca="false">IF($AU156="","",INDEX(Codes!$E$2:$E$108,MATCH("B8|"&amp;$AU156,Codes!$A$2:$A$108,0)))</f>
        <v/>
      </c>
      <c r="CA156" s="16" t="str">
        <f aca="false">IF($H156="","",INDEX(Codes!$E$2:$E$108,MATCH("A6|"&amp;$H156,Codes!$A$2:$A$108,0)))</f>
        <v/>
      </c>
      <c r="CB156" s="16" t="str">
        <f aca="false">IF($X156="","",IF($X156="phone",1,0))</f>
        <v/>
      </c>
      <c r="CC156" s="16" t="str">
        <f aca="false">IF($BC156="","",8-$BC156)</f>
        <v/>
      </c>
    </row>
    <row r="157" customFormat="false" ht="15" hidden="false" customHeight="false" outlineLevel="0" collapsed="false">
      <c r="BW157" s="16" t="str">
        <f aca="false">IF($R157="","",INDEX(Codes!$E$2:$E$108,MATCH("B1|"&amp;$R157,Codes!$A$2:$A$108,0)))</f>
        <v/>
      </c>
      <c r="BX157" s="16" t="str">
        <f aca="false">IF($Y157="","",INDEX(Codes!$E$2:$E$108,MATCH("B4|"&amp;$Y157,Codes!$A$2:$A$108,0)))</f>
        <v/>
      </c>
      <c r="BY157" s="16" t="str">
        <f aca="false">IF($I157="","",INDEX(Codes!$E$2:$E$108,MATCH("A7|"&amp;$I157,Codes!$A$2:$A$108,0)))</f>
        <v/>
      </c>
      <c r="BZ157" s="16" t="str">
        <f aca="false">IF($AU157="","",INDEX(Codes!$E$2:$E$108,MATCH("B8|"&amp;$AU157,Codes!$A$2:$A$108,0)))</f>
        <v/>
      </c>
      <c r="CA157" s="16" t="str">
        <f aca="false">IF($H157="","",INDEX(Codes!$E$2:$E$108,MATCH("A6|"&amp;$H157,Codes!$A$2:$A$108,0)))</f>
        <v/>
      </c>
      <c r="CB157" s="16" t="str">
        <f aca="false">IF($X157="","",IF($X157="phone",1,0))</f>
        <v/>
      </c>
      <c r="CC157" s="16" t="str">
        <f aca="false">IF($BC157="","",8-$BC157)</f>
        <v/>
      </c>
    </row>
    <row r="158" customFormat="false" ht="15" hidden="false" customHeight="false" outlineLevel="0" collapsed="false">
      <c r="BW158" s="16" t="str">
        <f aca="false">IF($R158="","",INDEX(Codes!$E$2:$E$108,MATCH("B1|"&amp;$R158,Codes!$A$2:$A$108,0)))</f>
        <v/>
      </c>
      <c r="BX158" s="16" t="str">
        <f aca="false">IF($Y158="","",INDEX(Codes!$E$2:$E$108,MATCH("B4|"&amp;$Y158,Codes!$A$2:$A$108,0)))</f>
        <v/>
      </c>
      <c r="BY158" s="16" t="str">
        <f aca="false">IF($I158="","",INDEX(Codes!$E$2:$E$108,MATCH("A7|"&amp;$I158,Codes!$A$2:$A$108,0)))</f>
        <v/>
      </c>
      <c r="BZ158" s="16" t="str">
        <f aca="false">IF($AU158="","",INDEX(Codes!$E$2:$E$108,MATCH("B8|"&amp;$AU158,Codes!$A$2:$A$108,0)))</f>
        <v/>
      </c>
      <c r="CA158" s="16" t="str">
        <f aca="false">IF($H158="","",INDEX(Codes!$E$2:$E$108,MATCH("A6|"&amp;$H158,Codes!$A$2:$A$108,0)))</f>
        <v/>
      </c>
      <c r="CB158" s="16" t="str">
        <f aca="false">IF($X158="","",IF($X158="phone",1,0))</f>
        <v/>
      </c>
      <c r="CC158" s="16" t="str">
        <f aca="false">IF($BC158="","",8-$BC158)</f>
        <v/>
      </c>
    </row>
    <row r="159" customFormat="false" ht="15" hidden="false" customHeight="false" outlineLevel="0" collapsed="false">
      <c r="BW159" s="16" t="str">
        <f aca="false">IF($R159="","",INDEX(Codes!$E$2:$E$108,MATCH("B1|"&amp;$R159,Codes!$A$2:$A$108,0)))</f>
        <v/>
      </c>
      <c r="BX159" s="16" t="str">
        <f aca="false">IF($Y159="","",INDEX(Codes!$E$2:$E$108,MATCH("B4|"&amp;$Y159,Codes!$A$2:$A$108,0)))</f>
        <v/>
      </c>
      <c r="BY159" s="16" t="str">
        <f aca="false">IF($I159="","",INDEX(Codes!$E$2:$E$108,MATCH("A7|"&amp;$I159,Codes!$A$2:$A$108,0)))</f>
        <v/>
      </c>
      <c r="BZ159" s="16" t="str">
        <f aca="false">IF($AU159="","",INDEX(Codes!$E$2:$E$108,MATCH("B8|"&amp;$AU159,Codes!$A$2:$A$108,0)))</f>
        <v/>
      </c>
      <c r="CA159" s="16" t="str">
        <f aca="false">IF($H159="","",INDEX(Codes!$E$2:$E$108,MATCH("A6|"&amp;$H159,Codes!$A$2:$A$108,0)))</f>
        <v/>
      </c>
      <c r="CB159" s="16" t="str">
        <f aca="false">IF($X159="","",IF($X159="phone",1,0))</f>
        <v/>
      </c>
      <c r="CC159" s="16" t="str">
        <f aca="false">IF($BC159="","",8-$BC159)</f>
        <v/>
      </c>
    </row>
    <row r="160" customFormat="false" ht="15" hidden="false" customHeight="false" outlineLevel="0" collapsed="false">
      <c r="BW160" s="16" t="str">
        <f aca="false">IF($R160="","",INDEX(Codes!$E$2:$E$108,MATCH("B1|"&amp;$R160,Codes!$A$2:$A$108,0)))</f>
        <v/>
      </c>
      <c r="BX160" s="16" t="str">
        <f aca="false">IF($Y160="","",INDEX(Codes!$E$2:$E$108,MATCH("B4|"&amp;$Y160,Codes!$A$2:$A$108,0)))</f>
        <v/>
      </c>
      <c r="BY160" s="16" t="str">
        <f aca="false">IF($I160="","",INDEX(Codes!$E$2:$E$108,MATCH("A7|"&amp;$I160,Codes!$A$2:$A$108,0)))</f>
        <v/>
      </c>
      <c r="BZ160" s="16" t="str">
        <f aca="false">IF($AU160="","",INDEX(Codes!$E$2:$E$108,MATCH("B8|"&amp;$AU160,Codes!$A$2:$A$108,0)))</f>
        <v/>
      </c>
      <c r="CA160" s="16" t="str">
        <f aca="false">IF($H160="","",INDEX(Codes!$E$2:$E$108,MATCH("A6|"&amp;$H160,Codes!$A$2:$A$108,0)))</f>
        <v/>
      </c>
      <c r="CB160" s="16" t="str">
        <f aca="false">IF($X160="","",IF($X160="phone",1,0))</f>
        <v/>
      </c>
      <c r="CC160" s="16" t="str">
        <f aca="false">IF($BC160="","",8-$BC160)</f>
        <v/>
      </c>
    </row>
    <row r="161" customFormat="false" ht="15" hidden="false" customHeight="false" outlineLevel="0" collapsed="false">
      <c r="BW161" s="16" t="str">
        <f aca="false">IF($R161="","",INDEX(Codes!$E$2:$E$108,MATCH("B1|"&amp;$R161,Codes!$A$2:$A$108,0)))</f>
        <v/>
      </c>
      <c r="BX161" s="16" t="str">
        <f aca="false">IF($Y161="","",INDEX(Codes!$E$2:$E$108,MATCH("B4|"&amp;$Y161,Codes!$A$2:$A$108,0)))</f>
        <v/>
      </c>
      <c r="BY161" s="16" t="str">
        <f aca="false">IF($I161="","",INDEX(Codes!$E$2:$E$108,MATCH("A7|"&amp;$I161,Codes!$A$2:$A$108,0)))</f>
        <v/>
      </c>
      <c r="BZ161" s="16" t="str">
        <f aca="false">IF($AU161="","",INDEX(Codes!$E$2:$E$108,MATCH("B8|"&amp;$AU161,Codes!$A$2:$A$108,0)))</f>
        <v/>
      </c>
      <c r="CA161" s="16" t="str">
        <f aca="false">IF($H161="","",INDEX(Codes!$E$2:$E$108,MATCH("A6|"&amp;$H161,Codes!$A$2:$A$108,0)))</f>
        <v/>
      </c>
      <c r="CB161" s="16" t="str">
        <f aca="false">IF($X161="","",IF($X161="phone",1,0))</f>
        <v/>
      </c>
      <c r="CC161" s="16" t="str">
        <f aca="false">IF($BC161="","",8-$BC161)</f>
        <v/>
      </c>
    </row>
    <row r="162" customFormat="false" ht="15" hidden="false" customHeight="false" outlineLevel="0" collapsed="false">
      <c r="BW162" s="16" t="str">
        <f aca="false">IF($R162="","",INDEX(Codes!$E$2:$E$108,MATCH("B1|"&amp;$R162,Codes!$A$2:$A$108,0)))</f>
        <v/>
      </c>
      <c r="BX162" s="16" t="str">
        <f aca="false">IF($Y162="","",INDEX(Codes!$E$2:$E$108,MATCH("B4|"&amp;$Y162,Codes!$A$2:$A$108,0)))</f>
        <v/>
      </c>
      <c r="BY162" s="16" t="str">
        <f aca="false">IF($I162="","",INDEX(Codes!$E$2:$E$108,MATCH("A7|"&amp;$I162,Codes!$A$2:$A$108,0)))</f>
        <v/>
      </c>
      <c r="BZ162" s="16" t="str">
        <f aca="false">IF($AU162="","",INDEX(Codes!$E$2:$E$108,MATCH("B8|"&amp;$AU162,Codes!$A$2:$A$108,0)))</f>
        <v/>
      </c>
      <c r="CA162" s="16" t="str">
        <f aca="false">IF($H162="","",INDEX(Codes!$E$2:$E$108,MATCH("A6|"&amp;$H162,Codes!$A$2:$A$108,0)))</f>
        <v/>
      </c>
      <c r="CB162" s="16" t="str">
        <f aca="false">IF($X162="","",IF($X162="phone",1,0))</f>
        <v/>
      </c>
      <c r="CC162" s="16" t="str">
        <f aca="false">IF($BC162="","",8-$BC162)</f>
        <v/>
      </c>
    </row>
    <row r="163" customFormat="false" ht="15" hidden="false" customHeight="false" outlineLevel="0" collapsed="false">
      <c r="BW163" s="16" t="str">
        <f aca="false">IF($R163="","",INDEX(Codes!$E$2:$E$108,MATCH("B1|"&amp;$R163,Codes!$A$2:$A$108,0)))</f>
        <v/>
      </c>
      <c r="BX163" s="16" t="str">
        <f aca="false">IF($Y163="","",INDEX(Codes!$E$2:$E$108,MATCH("B4|"&amp;$Y163,Codes!$A$2:$A$108,0)))</f>
        <v/>
      </c>
      <c r="BY163" s="16" t="str">
        <f aca="false">IF($I163="","",INDEX(Codes!$E$2:$E$108,MATCH("A7|"&amp;$I163,Codes!$A$2:$A$108,0)))</f>
        <v/>
      </c>
      <c r="BZ163" s="16" t="str">
        <f aca="false">IF($AU163="","",INDEX(Codes!$E$2:$E$108,MATCH("B8|"&amp;$AU163,Codes!$A$2:$A$108,0)))</f>
        <v/>
      </c>
      <c r="CA163" s="16" t="str">
        <f aca="false">IF($H163="","",INDEX(Codes!$E$2:$E$108,MATCH("A6|"&amp;$H163,Codes!$A$2:$A$108,0)))</f>
        <v/>
      </c>
      <c r="CB163" s="16" t="str">
        <f aca="false">IF($X163="","",IF($X163="phone",1,0))</f>
        <v/>
      </c>
      <c r="CC163" s="16" t="str">
        <f aca="false">IF($BC163="","",8-$BC163)</f>
        <v/>
      </c>
    </row>
    <row r="164" customFormat="false" ht="15" hidden="false" customHeight="false" outlineLevel="0" collapsed="false">
      <c r="BW164" s="16" t="str">
        <f aca="false">IF($R164="","",INDEX(Codes!$E$2:$E$108,MATCH("B1|"&amp;$R164,Codes!$A$2:$A$108,0)))</f>
        <v/>
      </c>
      <c r="BX164" s="16" t="str">
        <f aca="false">IF($Y164="","",INDEX(Codes!$E$2:$E$108,MATCH("B4|"&amp;$Y164,Codes!$A$2:$A$108,0)))</f>
        <v/>
      </c>
      <c r="BY164" s="16" t="str">
        <f aca="false">IF($I164="","",INDEX(Codes!$E$2:$E$108,MATCH("A7|"&amp;$I164,Codes!$A$2:$A$108,0)))</f>
        <v/>
      </c>
      <c r="BZ164" s="16" t="str">
        <f aca="false">IF($AU164="","",INDEX(Codes!$E$2:$E$108,MATCH("B8|"&amp;$AU164,Codes!$A$2:$A$108,0)))</f>
        <v/>
      </c>
      <c r="CA164" s="16" t="str">
        <f aca="false">IF($H164="","",INDEX(Codes!$E$2:$E$108,MATCH("A6|"&amp;$H164,Codes!$A$2:$A$108,0)))</f>
        <v/>
      </c>
      <c r="CB164" s="16" t="str">
        <f aca="false">IF($X164="","",IF($X164="phone",1,0))</f>
        <v/>
      </c>
      <c r="CC164" s="16" t="str">
        <f aca="false">IF($BC164="","",8-$BC164)</f>
        <v/>
      </c>
    </row>
    <row r="165" customFormat="false" ht="15" hidden="false" customHeight="false" outlineLevel="0" collapsed="false">
      <c r="BW165" s="16" t="str">
        <f aca="false">IF($R165="","",INDEX(Codes!$E$2:$E$108,MATCH("B1|"&amp;$R165,Codes!$A$2:$A$108,0)))</f>
        <v/>
      </c>
      <c r="BX165" s="16" t="str">
        <f aca="false">IF($Y165="","",INDEX(Codes!$E$2:$E$108,MATCH("B4|"&amp;$Y165,Codes!$A$2:$A$108,0)))</f>
        <v/>
      </c>
      <c r="BY165" s="16" t="str">
        <f aca="false">IF($I165="","",INDEX(Codes!$E$2:$E$108,MATCH("A7|"&amp;$I165,Codes!$A$2:$A$108,0)))</f>
        <v/>
      </c>
      <c r="BZ165" s="16" t="str">
        <f aca="false">IF($AU165="","",INDEX(Codes!$E$2:$E$108,MATCH("B8|"&amp;$AU165,Codes!$A$2:$A$108,0)))</f>
        <v/>
      </c>
      <c r="CA165" s="16" t="str">
        <f aca="false">IF($H165="","",INDEX(Codes!$E$2:$E$108,MATCH("A6|"&amp;$H165,Codes!$A$2:$A$108,0)))</f>
        <v/>
      </c>
      <c r="CB165" s="16" t="str">
        <f aca="false">IF($X165="","",IF($X165="phone",1,0))</f>
        <v/>
      </c>
      <c r="CC165" s="16" t="str">
        <f aca="false">IF($BC165="","",8-$BC165)</f>
        <v/>
      </c>
    </row>
    <row r="166" customFormat="false" ht="15" hidden="false" customHeight="false" outlineLevel="0" collapsed="false">
      <c r="BW166" s="16" t="str">
        <f aca="false">IF($R166="","",INDEX(Codes!$E$2:$E$108,MATCH("B1|"&amp;$R166,Codes!$A$2:$A$108,0)))</f>
        <v/>
      </c>
      <c r="BX166" s="16" t="str">
        <f aca="false">IF($Y166="","",INDEX(Codes!$E$2:$E$108,MATCH("B4|"&amp;$Y166,Codes!$A$2:$A$108,0)))</f>
        <v/>
      </c>
      <c r="BY166" s="16" t="str">
        <f aca="false">IF($I166="","",INDEX(Codes!$E$2:$E$108,MATCH("A7|"&amp;$I166,Codes!$A$2:$A$108,0)))</f>
        <v/>
      </c>
      <c r="BZ166" s="16" t="str">
        <f aca="false">IF($AU166="","",INDEX(Codes!$E$2:$E$108,MATCH("B8|"&amp;$AU166,Codes!$A$2:$A$108,0)))</f>
        <v/>
      </c>
      <c r="CA166" s="16" t="str">
        <f aca="false">IF($H166="","",INDEX(Codes!$E$2:$E$108,MATCH("A6|"&amp;$H166,Codes!$A$2:$A$108,0)))</f>
        <v/>
      </c>
      <c r="CB166" s="16" t="str">
        <f aca="false">IF($X166="","",IF($X166="phone",1,0))</f>
        <v/>
      </c>
      <c r="CC166" s="16" t="str">
        <f aca="false">IF($BC166="","",8-$BC166)</f>
        <v/>
      </c>
    </row>
    <row r="167" customFormat="false" ht="15" hidden="false" customHeight="false" outlineLevel="0" collapsed="false">
      <c r="BW167" s="16" t="str">
        <f aca="false">IF($R167="","",INDEX(Codes!$E$2:$E$108,MATCH("B1|"&amp;$R167,Codes!$A$2:$A$108,0)))</f>
        <v/>
      </c>
      <c r="BX167" s="16" t="str">
        <f aca="false">IF($Y167="","",INDEX(Codes!$E$2:$E$108,MATCH("B4|"&amp;$Y167,Codes!$A$2:$A$108,0)))</f>
        <v/>
      </c>
      <c r="BY167" s="16" t="str">
        <f aca="false">IF($I167="","",INDEX(Codes!$E$2:$E$108,MATCH("A7|"&amp;$I167,Codes!$A$2:$A$108,0)))</f>
        <v/>
      </c>
      <c r="BZ167" s="16" t="str">
        <f aca="false">IF($AU167="","",INDEX(Codes!$E$2:$E$108,MATCH("B8|"&amp;$AU167,Codes!$A$2:$A$108,0)))</f>
        <v/>
      </c>
      <c r="CA167" s="16" t="str">
        <f aca="false">IF($H167="","",INDEX(Codes!$E$2:$E$108,MATCH("A6|"&amp;$H167,Codes!$A$2:$A$108,0)))</f>
        <v/>
      </c>
      <c r="CB167" s="16" t="str">
        <f aca="false">IF($X167="","",IF($X167="phone",1,0))</f>
        <v/>
      </c>
      <c r="CC167" s="16" t="str">
        <f aca="false">IF($BC167="","",8-$BC167)</f>
        <v/>
      </c>
    </row>
    <row r="168" customFormat="false" ht="15" hidden="false" customHeight="false" outlineLevel="0" collapsed="false">
      <c r="BW168" s="16" t="str">
        <f aca="false">IF($R168="","",INDEX(Codes!$E$2:$E$108,MATCH("B1|"&amp;$R168,Codes!$A$2:$A$108,0)))</f>
        <v/>
      </c>
      <c r="BX168" s="16" t="str">
        <f aca="false">IF($Y168="","",INDEX(Codes!$E$2:$E$108,MATCH("B4|"&amp;$Y168,Codes!$A$2:$A$108,0)))</f>
        <v/>
      </c>
      <c r="BY168" s="16" t="str">
        <f aca="false">IF($I168="","",INDEX(Codes!$E$2:$E$108,MATCH("A7|"&amp;$I168,Codes!$A$2:$A$108,0)))</f>
        <v/>
      </c>
      <c r="BZ168" s="16" t="str">
        <f aca="false">IF($AU168="","",INDEX(Codes!$E$2:$E$108,MATCH("B8|"&amp;$AU168,Codes!$A$2:$A$108,0)))</f>
        <v/>
      </c>
      <c r="CA168" s="16" t="str">
        <f aca="false">IF($H168="","",INDEX(Codes!$E$2:$E$108,MATCH("A6|"&amp;$H168,Codes!$A$2:$A$108,0)))</f>
        <v/>
      </c>
      <c r="CB168" s="16" t="str">
        <f aca="false">IF($X168="","",IF($X168="phone",1,0))</f>
        <v/>
      </c>
      <c r="CC168" s="16" t="str">
        <f aca="false">IF($BC168="","",8-$BC168)</f>
        <v/>
      </c>
    </row>
    <row r="169" customFormat="false" ht="15" hidden="false" customHeight="false" outlineLevel="0" collapsed="false">
      <c r="BW169" s="16" t="str">
        <f aca="false">IF($R169="","",INDEX(Codes!$E$2:$E$108,MATCH("B1|"&amp;$R169,Codes!$A$2:$A$108,0)))</f>
        <v/>
      </c>
      <c r="BX169" s="16" t="str">
        <f aca="false">IF($Y169="","",INDEX(Codes!$E$2:$E$108,MATCH("B4|"&amp;$Y169,Codes!$A$2:$A$108,0)))</f>
        <v/>
      </c>
      <c r="BY169" s="16" t="str">
        <f aca="false">IF($I169="","",INDEX(Codes!$E$2:$E$108,MATCH("A7|"&amp;$I169,Codes!$A$2:$A$108,0)))</f>
        <v/>
      </c>
      <c r="BZ169" s="16" t="str">
        <f aca="false">IF($AU169="","",INDEX(Codes!$E$2:$E$108,MATCH("B8|"&amp;$AU169,Codes!$A$2:$A$108,0)))</f>
        <v/>
      </c>
      <c r="CA169" s="16" t="str">
        <f aca="false">IF($H169="","",INDEX(Codes!$E$2:$E$108,MATCH("A6|"&amp;$H169,Codes!$A$2:$A$108,0)))</f>
        <v/>
      </c>
      <c r="CB169" s="16" t="str">
        <f aca="false">IF($X169="","",IF($X169="phone",1,0))</f>
        <v/>
      </c>
      <c r="CC169" s="16" t="str">
        <f aca="false">IF($BC169="","",8-$BC169)</f>
        <v/>
      </c>
    </row>
    <row r="170" customFormat="false" ht="15" hidden="false" customHeight="false" outlineLevel="0" collapsed="false">
      <c r="BW170" s="16" t="str">
        <f aca="false">IF($R170="","",INDEX(Codes!$E$2:$E$108,MATCH("B1|"&amp;$R170,Codes!$A$2:$A$108,0)))</f>
        <v/>
      </c>
      <c r="BX170" s="16" t="str">
        <f aca="false">IF($Y170="","",INDEX(Codes!$E$2:$E$108,MATCH("B4|"&amp;$Y170,Codes!$A$2:$A$108,0)))</f>
        <v/>
      </c>
      <c r="BY170" s="16" t="str">
        <f aca="false">IF($I170="","",INDEX(Codes!$E$2:$E$108,MATCH("A7|"&amp;$I170,Codes!$A$2:$A$108,0)))</f>
        <v/>
      </c>
      <c r="BZ170" s="16" t="str">
        <f aca="false">IF($AU170="","",INDEX(Codes!$E$2:$E$108,MATCH("B8|"&amp;$AU170,Codes!$A$2:$A$108,0)))</f>
        <v/>
      </c>
      <c r="CA170" s="16" t="str">
        <f aca="false">IF($H170="","",INDEX(Codes!$E$2:$E$108,MATCH("A6|"&amp;$H170,Codes!$A$2:$A$108,0)))</f>
        <v/>
      </c>
      <c r="CB170" s="16" t="str">
        <f aca="false">IF($X170="","",IF($X170="phone",1,0))</f>
        <v/>
      </c>
      <c r="CC170" s="16" t="str">
        <f aca="false">IF($BC170="","",8-$BC170)</f>
        <v/>
      </c>
    </row>
    <row r="171" customFormat="false" ht="15" hidden="false" customHeight="false" outlineLevel="0" collapsed="false">
      <c r="BW171" s="16" t="str">
        <f aca="false">IF($R171="","",INDEX(Codes!$E$2:$E$108,MATCH("B1|"&amp;$R171,Codes!$A$2:$A$108,0)))</f>
        <v/>
      </c>
      <c r="BX171" s="16" t="str">
        <f aca="false">IF($Y171="","",INDEX(Codes!$E$2:$E$108,MATCH("B4|"&amp;$Y171,Codes!$A$2:$A$108,0)))</f>
        <v/>
      </c>
      <c r="BY171" s="16" t="str">
        <f aca="false">IF($I171="","",INDEX(Codes!$E$2:$E$108,MATCH("A7|"&amp;$I171,Codes!$A$2:$A$108,0)))</f>
        <v/>
      </c>
      <c r="BZ171" s="16" t="str">
        <f aca="false">IF($AU171="","",INDEX(Codes!$E$2:$E$108,MATCH("B8|"&amp;$AU171,Codes!$A$2:$A$108,0)))</f>
        <v/>
      </c>
      <c r="CA171" s="16" t="str">
        <f aca="false">IF($H171="","",INDEX(Codes!$E$2:$E$108,MATCH("A6|"&amp;$H171,Codes!$A$2:$A$108,0)))</f>
        <v/>
      </c>
      <c r="CB171" s="16" t="str">
        <f aca="false">IF($X171="","",IF($X171="phone",1,0))</f>
        <v/>
      </c>
      <c r="CC171" s="16" t="str">
        <f aca="false">IF($BC171="","",8-$BC171)</f>
        <v/>
      </c>
    </row>
    <row r="172" customFormat="false" ht="15" hidden="false" customHeight="false" outlineLevel="0" collapsed="false">
      <c r="BW172" s="16" t="str">
        <f aca="false">IF($R172="","",INDEX(Codes!$E$2:$E$108,MATCH("B1|"&amp;$R172,Codes!$A$2:$A$108,0)))</f>
        <v/>
      </c>
      <c r="BX172" s="16" t="str">
        <f aca="false">IF($Y172="","",INDEX(Codes!$E$2:$E$108,MATCH("B4|"&amp;$Y172,Codes!$A$2:$A$108,0)))</f>
        <v/>
      </c>
      <c r="BY172" s="16" t="str">
        <f aca="false">IF($I172="","",INDEX(Codes!$E$2:$E$108,MATCH("A7|"&amp;$I172,Codes!$A$2:$A$108,0)))</f>
        <v/>
      </c>
      <c r="BZ172" s="16" t="str">
        <f aca="false">IF($AU172="","",INDEX(Codes!$E$2:$E$108,MATCH("B8|"&amp;$AU172,Codes!$A$2:$A$108,0)))</f>
        <v/>
      </c>
      <c r="CA172" s="16" t="str">
        <f aca="false">IF($H172="","",INDEX(Codes!$E$2:$E$108,MATCH("A6|"&amp;$H172,Codes!$A$2:$A$108,0)))</f>
        <v/>
      </c>
      <c r="CB172" s="16" t="str">
        <f aca="false">IF($X172="","",IF($X172="phone",1,0))</f>
        <v/>
      </c>
      <c r="CC172" s="16" t="str">
        <f aca="false">IF($BC172="","",8-$BC172)</f>
        <v/>
      </c>
    </row>
    <row r="173" customFormat="false" ht="15" hidden="false" customHeight="false" outlineLevel="0" collapsed="false">
      <c r="BW173" s="16" t="str">
        <f aca="false">IF($R173="","",INDEX(Codes!$E$2:$E$108,MATCH("B1|"&amp;$R173,Codes!$A$2:$A$108,0)))</f>
        <v/>
      </c>
      <c r="BX173" s="16" t="str">
        <f aca="false">IF($Y173="","",INDEX(Codes!$E$2:$E$108,MATCH("B4|"&amp;$Y173,Codes!$A$2:$A$108,0)))</f>
        <v/>
      </c>
      <c r="BY173" s="16" t="str">
        <f aca="false">IF($I173="","",INDEX(Codes!$E$2:$E$108,MATCH("A7|"&amp;$I173,Codes!$A$2:$A$108,0)))</f>
        <v/>
      </c>
      <c r="BZ173" s="16" t="str">
        <f aca="false">IF($AU173="","",INDEX(Codes!$E$2:$E$108,MATCH("B8|"&amp;$AU173,Codes!$A$2:$A$108,0)))</f>
        <v/>
      </c>
      <c r="CA173" s="16" t="str">
        <f aca="false">IF($H173="","",INDEX(Codes!$E$2:$E$108,MATCH("A6|"&amp;$H173,Codes!$A$2:$A$108,0)))</f>
        <v/>
      </c>
      <c r="CB173" s="16" t="str">
        <f aca="false">IF($X173="","",IF($X173="phone",1,0))</f>
        <v/>
      </c>
      <c r="CC173" s="16" t="str">
        <f aca="false">IF($BC173="","",8-$BC173)</f>
        <v/>
      </c>
    </row>
    <row r="174" customFormat="false" ht="15" hidden="false" customHeight="false" outlineLevel="0" collapsed="false">
      <c r="BW174" s="16" t="str">
        <f aca="false">IF($R174="","",INDEX(Codes!$E$2:$E$108,MATCH("B1|"&amp;$R174,Codes!$A$2:$A$108,0)))</f>
        <v/>
      </c>
      <c r="BX174" s="16" t="str">
        <f aca="false">IF($Y174="","",INDEX(Codes!$E$2:$E$108,MATCH("B4|"&amp;$Y174,Codes!$A$2:$A$108,0)))</f>
        <v/>
      </c>
      <c r="BY174" s="16" t="str">
        <f aca="false">IF($I174="","",INDEX(Codes!$E$2:$E$108,MATCH("A7|"&amp;$I174,Codes!$A$2:$A$108,0)))</f>
        <v/>
      </c>
      <c r="BZ174" s="16" t="str">
        <f aca="false">IF($AU174="","",INDEX(Codes!$E$2:$E$108,MATCH("B8|"&amp;$AU174,Codes!$A$2:$A$108,0)))</f>
        <v/>
      </c>
      <c r="CA174" s="16" t="str">
        <f aca="false">IF($H174="","",INDEX(Codes!$E$2:$E$108,MATCH("A6|"&amp;$H174,Codes!$A$2:$A$108,0)))</f>
        <v/>
      </c>
      <c r="CB174" s="16" t="str">
        <f aca="false">IF($X174="","",IF($X174="phone",1,0))</f>
        <v/>
      </c>
      <c r="CC174" s="16" t="str">
        <f aca="false">IF($BC174="","",8-$BC174)</f>
        <v/>
      </c>
    </row>
    <row r="175" customFormat="false" ht="15" hidden="false" customHeight="false" outlineLevel="0" collapsed="false">
      <c r="BW175" s="16" t="str">
        <f aca="false">IF($R175="","",INDEX(Codes!$E$2:$E$108,MATCH("B1|"&amp;$R175,Codes!$A$2:$A$108,0)))</f>
        <v/>
      </c>
      <c r="BX175" s="16" t="str">
        <f aca="false">IF($Y175="","",INDEX(Codes!$E$2:$E$108,MATCH("B4|"&amp;$Y175,Codes!$A$2:$A$108,0)))</f>
        <v/>
      </c>
      <c r="BY175" s="16" t="str">
        <f aca="false">IF($I175="","",INDEX(Codes!$E$2:$E$108,MATCH("A7|"&amp;$I175,Codes!$A$2:$A$108,0)))</f>
        <v/>
      </c>
      <c r="BZ175" s="16" t="str">
        <f aca="false">IF($AU175="","",INDEX(Codes!$E$2:$E$108,MATCH("B8|"&amp;$AU175,Codes!$A$2:$A$108,0)))</f>
        <v/>
      </c>
      <c r="CA175" s="16" t="str">
        <f aca="false">IF($H175="","",INDEX(Codes!$E$2:$E$108,MATCH("A6|"&amp;$H175,Codes!$A$2:$A$108,0)))</f>
        <v/>
      </c>
      <c r="CB175" s="16" t="str">
        <f aca="false">IF($X175="","",IF($X175="phone",1,0))</f>
        <v/>
      </c>
      <c r="CC175" s="16" t="str">
        <f aca="false">IF($BC175="","",8-$BC175)</f>
        <v/>
      </c>
    </row>
    <row r="176" customFormat="false" ht="15" hidden="false" customHeight="false" outlineLevel="0" collapsed="false">
      <c r="BW176" s="16" t="str">
        <f aca="false">IF($R176="","",INDEX(Codes!$E$2:$E$108,MATCH("B1|"&amp;$R176,Codes!$A$2:$A$108,0)))</f>
        <v/>
      </c>
      <c r="BX176" s="16" t="str">
        <f aca="false">IF($Y176="","",INDEX(Codes!$E$2:$E$108,MATCH("B4|"&amp;$Y176,Codes!$A$2:$A$108,0)))</f>
        <v/>
      </c>
      <c r="BY176" s="16" t="str">
        <f aca="false">IF($I176="","",INDEX(Codes!$E$2:$E$108,MATCH("A7|"&amp;$I176,Codes!$A$2:$A$108,0)))</f>
        <v/>
      </c>
      <c r="BZ176" s="16" t="str">
        <f aca="false">IF($AU176="","",INDEX(Codes!$E$2:$E$108,MATCH("B8|"&amp;$AU176,Codes!$A$2:$A$108,0)))</f>
        <v/>
      </c>
      <c r="CA176" s="16" t="str">
        <f aca="false">IF($H176="","",INDEX(Codes!$E$2:$E$108,MATCH("A6|"&amp;$H176,Codes!$A$2:$A$108,0)))</f>
        <v/>
      </c>
      <c r="CB176" s="16" t="str">
        <f aca="false">IF($X176="","",IF($X176="phone",1,0))</f>
        <v/>
      </c>
      <c r="CC176" s="16" t="str">
        <f aca="false">IF($BC176="","",8-$BC176)</f>
        <v/>
      </c>
    </row>
    <row r="177" customFormat="false" ht="15" hidden="false" customHeight="false" outlineLevel="0" collapsed="false">
      <c r="BW177" s="16" t="str">
        <f aca="false">IF($R177="","",INDEX(Codes!$E$2:$E$108,MATCH("B1|"&amp;$R177,Codes!$A$2:$A$108,0)))</f>
        <v/>
      </c>
      <c r="BX177" s="16" t="str">
        <f aca="false">IF($Y177="","",INDEX(Codes!$E$2:$E$108,MATCH("B4|"&amp;$Y177,Codes!$A$2:$A$108,0)))</f>
        <v/>
      </c>
      <c r="BY177" s="16" t="str">
        <f aca="false">IF($I177="","",INDEX(Codes!$E$2:$E$108,MATCH("A7|"&amp;$I177,Codes!$A$2:$A$108,0)))</f>
        <v/>
      </c>
      <c r="BZ177" s="16" t="str">
        <f aca="false">IF($AU177="","",INDEX(Codes!$E$2:$E$108,MATCH("B8|"&amp;$AU177,Codes!$A$2:$A$108,0)))</f>
        <v/>
      </c>
      <c r="CA177" s="16" t="str">
        <f aca="false">IF($H177="","",INDEX(Codes!$E$2:$E$108,MATCH("A6|"&amp;$H177,Codes!$A$2:$A$108,0)))</f>
        <v/>
      </c>
      <c r="CB177" s="16" t="str">
        <f aca="false">IF($X177="","",IF($X177="phone",1,0))</f>
        <v/>
      </c>
      <c r="CC177" s="16" t="str">
        <f aca="false">IF($BC177="","",8-$BC177)</f>
        <v/>
      </c>
    </row>
    <row r="178" customFormat="false" ht="15" hidden="false" customHeight="false" outlineLevel="0" collapsed="false">
      <c r="BW178" s="16" t="str">
        <f aca="false">IF($R178="","",INDEX(Codes!$E$2:$E$108,MATCH("B1|"&amp;$R178,Codes!$A$2:$A$108,0)))</f>
        <v/>
      </c>
      <c r="BX178" s="16" t="str">
        <f aca="false">IF($Y178="","",INDEX(Codes!$E$2:$E$108,MATCH("B4|"&amp;$Y178,Codes!$A$2:$A$108,0)))</f>
        <v/>
      </c>
      <c r="BY178" s="16" t="str">
        <f aca="false">IF($I178="","",INDEX(Codes!$E$2:$E$108,MATCH("A7|"&amp;$I178,Codes!$A$2:$A$108,0)))</f>
        <v/>
      </c>
      <c r="BZ178" s="16" t="str">
        <f aca="false">IF($AU178="","",INDEX(Codes!$E$2:$E$108,MATCH("B8|"&amp;$AU178,Codes!$A$2:$A$108,0)))</f>
        <v/>
      </c>
      <c r="CA178" s="16" t="str">
        <f aca="false">IF($H178="","",INDEX(Codes!$E$2:$E$108,MATCH("A6|"&amp;$H178,Codes!$A$2:$A$108,0)))</f>
        <v/>
      </c>
      <c r="CB178" s="16" t="str">
        <f aca="false">IF($X178="","",IF($X178="phone",1,0))</f>
        <v/>
      </c>
      <c r="CC178" s="16" t="str">
        <f aca="false">IF($BC178="","",8-$BC178)</f>
        <v/>
      </c>
    </row>
    <row r="179" customFormat="false" ht="15" hidden="false" customHeight="false" outlineLevel="0" collapsed="false">
      <c r="BW179" s="16" t="str">
        <f aca="false">IF($R179="","",INDEX(Codes!$E$2:$E$108,MATCH("B1|"&amp;$R179,Codes!$A$2:$A$108,0)))</f>
        <v/>
      </c>
      <c r="BX179" s="16" t="str">
        <f aca="false">IF($Y179="","",INDEX(Codes!$E$2:$E$108,MATCH("B4|"&amp;$Y179,Codes!$A$2:$A$108,0)))</f>
        <v/>
      </c>
      <c r="BY179" s="16" t="str">
        <f aca="false">IF($I179="","",INDEX(Codes!$E$2:$E$108,MATCH("A7|"&amp;$I179,Codes!$A$2:$A$108,0)))</f>
        <v/>
      </c>
      <c r="BZ179" s="16" t="str">
        <f aca="false">IF($AU179="","",INDEX(Codes!$E$2:$E$108,MATCH("B8|"&amp;$AU179,Codes!$A$2:$A$108,0)))</f>
        <v/>
      </c>
      <c r="CA179" s="16" t="str">
        <f aca="false">IF($H179="","",INDEX(Codes!$E$2:$E$108,MATCH("A6|"&amp;$H179,Codes!$A$2:$A$108,0)))</f>
        <v/>
      </c>
      <c r="CB179" s="16" t="str">
        <f aca="false">IF($X179="","",IF($X179="phone",1,0))</f>
        <v/>
      </c>
      <c r="CC179" s="16" t="str">
        <f aca="false">IF($BC179="","",8-$BC179)</f>
        <v/>
      </c>
    </row>
    <row r="180" customFormat="false" ht="15" hidden="false" customHeight="false" outlineLevel="0" collapsed="false">
      <c r="BW180" s="16" t="str">
        <f aca="false">IF($R180="","",INDEX(Codes!$E$2:$E$108,MATCH("B1|"&amp;$R180,Codes!$A$2:$A$108,0)))</f>
        <v/>
      </c>
      <c r="BX180" s="16" t="str">
        <f aca="false">IF($Y180="","",INDEX(Codes!$E$2:$E$108,MATCH("B4|"&amp;$Y180,Codes!$A$2:$A$108,0)))</f>
        <v/>
      </c>
      <c r="BY180" s="16" t="str">
        <f aca="false">IF($I180="","",INDEX(Codes!$E$2:$E$108,MATCH("A7|"&amp;$I180,Codes!$A$2:$A$108,0)))</f>
        <v/>
      </c>
      <c r="BZ180" s="16" t="str">
        <f aca="false">IF($AU180="","",INDEX(Codes!$E$2:$E$108,MATCH("B8|"&amp;$AU180,Codes!$A$2:$A$108,0)))</f>
        <v/>
      </c>
      <c r="CA180" s="16" t="str">
        <f aca="false">IF($H180="","",INDEX(Codes!$E$2:$E$108,MATCH("A6|"&amp;$H180,Codes!$A$2:$A$108,0)))</f>
        <v/>
      </c>
      <c r="CB180" s="16" t="str">
        <f aca="false">IF($X180="","",IF($X180="phone",1,0))</f>
        <v/>
      </c>
      <c r="CC180" s="16" t="str">
        <f aca="false">IF($BC180="","",8-$BC180)</f>
        <v/>
      </c>
    </row>
    <row r="181" customFormat="false" ht="15" hidden="false" customHeight="false" outlineLevel="0" collapsed="false">
      <c r="BW181" s="16" t="str">
        <f aca="false">IF($R181="","",INDEX(Codes!$E$2:$E$108,MATCH("B1|"&amp;$R181,Codes!$A$2:$A$108,0)))</f>
        <v/>
      </c>
      <c r="BX181" s="16" t="str">
        <f aca="false">IF($Y181="","",INDEX(Codes!$E$2:$E$108,MATCH("B4|"&amp;$Y181,Codes!$A$2:$A$108,0)))</f>
        <v/>
      </c>
      <c r="BY181" s="16" t="str">
        <f aca="false">IF($I181="","",INDEX(Codes!$E$2:$E$108,MATCH("A7|"&amp;$I181,Codes!$A$2:$A$108,0)))</f>
        <v/>
      </c>
      <c r="BZ181" s="16" t="str">
        <f aca="false">IF($AU181="","",INDEX(Codes!$E$2:$E$108,MATCH("B8|"&amp;$AU181,Codes!$A$2:$A$108,0)))</f>
        <v/>
      </c>
      <c r="CA181" s="16" t="str">
        <f aca="false">IF($H181="","",INDEX(Codes!$E$2:$E$108,MATCH("A6|"&amp;$H181,Codes!$A$2:$A$108,0)))</f>
        <v/>
      </c>
      <c r="CB181" s="16" t="str">
        <f aca="false">IF($X181="","",IF($X181="phone",1,0))</f>
        <v/>
      </c>
      <c r="CC181" s="16" t="str">
        <f aca="false">IF($BC181="","",8-$BC181)</f>
        <v/>
      </c>
    </row>
    <row r="182" customFormat="false" ht="15" hidden="false" customHeight="false" outlineLevel="0" collapsed="false">
      <c r="BW182" s="16" t="str">
        <f aca="false">IF($R182="","",INDEX(Codes!$E$2:$E$108,MATCH("B1|"&amp;$R182,Codes!$A$2:$A$108,0)))</f>
        <v/>
      </c>
      <c r="BX182" s="16" t="str">
        <f aca="false">IF($Y182="","",INDEX(Codes!$E$2:$E$108,MATCH("B4|"&amp;$Y182,Codes!$A$2:$A$108,0)))</f>
        <v/>
      </c>
      <c r="BY182" s="16" t="str">
        <f aca="false">IF($I182="","",INDEX(Codes!$E$2:$E$108,MATCH("A7|"&amp;$I182,Codes!$A$2:$A$108,0)))</f>
        <v/>
      </c>
      <c r="BZ182" s="16" t="str">
        <f aca="false">IF($AU182="","",INDEX(Codes!$E$2:$E$108,MATCH("B8|"&amp;$AU182,Codes!$A$2:$A$108,0)))</f>
        <v/>
      </c>
      <c r="CA182" s="16" t="str">
        <f aca="false">IF($H182="","",INDEX(Codes!$E$2:$E$108,MATCH("A6|"&amp;$H182,Codes!$A$2:$A$108,0)))</f>
        <v/>
      </c>
      <c r="CB182" s="16" t="str">
        <f aca="false">IF($X182="","",IF($X182="phone",1,0))</f>
        <v/>
      </c>
      <c r="CC182" s="16" t="str">
        <f aca="false">IF($BC182="","",8-$BC182)</f>
        <v/>
      </c>
    </row>
    <row r="183" customFormat="false" ht="15" hidden="false" customHeight="false" outlineLevel="0" collapsed="false">
      <c r="BW183" s="16" t="str">
        <f aca="false">IF($R183="","",INDEX(Codes!$E$2:$E$108,MATCH("B1|"&amp;$R183,Codes!$A$2:$A$108,0)))</f>
        <v/>
      </c>
      <c r="BX183" s="16" t="str">
        <f aca="false">IF($Y183="","",INDEX(Codes!$E$2:$E$108,MATCH("B4|"&amp;$Y183,Codes!$A$2:$A$108,0)))</f>
        <v/>
      </c>
      <c r="BY183" s="16" t="str">
        <f aca="false">IF($I183="","",INDEX(Codes!$E$2:$E$108,MATCH("A7|"&amp;$I183,Codes!$A$2:$A$108,0)))</f>
        <v/>
      </c>
      <c r="BZ183" s="16" t="str">
        <f aca="false">IF($AU183="","",INDEX(Codes!$E$2:$E$108,MATCH("B8|"&amp;$AU183,Codes!$A$2:$A$108,0)))</f>
        <v/>
      </c>
      <c r="CA183" s="16" t="str">
        <f aca="false">IF($H183="","",INDEX(Codes!$E$2:$E$108,MATCH("A6|"&amp;$H183,Codes!$A$2:$A$108,0)))</f>
        <v/>
      </c>
      <c r="CB183" s="16" t="str">
        <f aca="false">IF($X183="","",IF($X183="phone",1,0))</f>
        <v/>
      </c>
      <c r="CC183" s="16" t="str">
        <f aca="false">IF($BC183="","",8-$BC183)</f>
        <v/>
      </c>
    </row>
    <row r="184" customFormat="false" ht="15" hidden="false" customHeight="false" outlineLevel="0" collapsed="false">
      <c r="BW184" s="16" t="str">
        <f aca="false">IF($R184="","",INDEX(Codes!$E$2:$E$108,MATCH("B1|"&amp;$R184,Codes!$A$2:$A$108,0)))</f>
        <v/>
      </c>
      <c r="BX184" s="16" t="str">
        <f aca="false">IF($Y184="","",INDEX(Codes!$E$2:$E$108,MATCH("B4|"&amp;$Y184,Codes!$A$2:$A$108,0)))</f>
        <v/>
      </c>
      <c r="BY184" s="16" t="str">
        <f aca="false">IF($I184="","",INDEX(Codes!$E$2:$E$108,MATCH("A7|"&amp;$I184,Codes!$A$2:$A$108,0)))</f>
        <v/>
      </c>
      <c r="BZ184" s="16" t="str">
        <f aca="false">IF($AU184="","",INDEX(Codes!$E$2:$E$108,MATCH("B8|"&amp;$AU184,Codes!$A$2:$A$108,0)))</f>
        <v/>
      </c>
      <c r="CA184" s="16" t="str">
        <f aca="false">IF($H184="","",INDEX(Codes!$E$2:$E$108,MATCH("A6|"&amp;$H184,Codes!$A$2:$A$108,0)))</f>
        <v/>
      </c>
      <c r="CB184" s="16" t="str">
        <f aca="false">IF($X184="","",IF($X184="phone",1,0))</f>
        <v/>
      </c>
      <c r="CC184" s="16" t="str">
        <f aca="false">IF($BC184="","",8-$BC184)</f>
        <v/>
      </c>
    </row>
    <row r="185" customFormat="false" ht="15" hidden="false" customHeight="false" outlineLevel="0" collapsed="false">
      <c r="BW185" s="16" t="str">
        <f aca="false">IF($R185="","",INDEX(Codes!$E$2:$E$108,MATCH("B1|"&amp;$R185,Codes!$A$2:$A$108,0)))</f>
        <v/>
      </c>
      <c r="BX185" s="16" t="str">
        <f aca="false">IF($Y185="","",INDEX(Codes!$E$2:$E$108,MATCH("B4|"&amp;$Y185,Codes!$A$2:$A$108,0)))</f>
        <v/>
      </c>
      <c r="BY185" s="16" t="str">
        <f aca="false">IF($I185="","",INDEX(Codes!$E$2:$E$108,MATCH("A7|"&amp;$I185,Codes!$A$2:$A$108,0)))</f>
        <v/>
      </c>
      <c r="BZ185" s="16" t="str">
        <f aca="false">IF($AU185="","",INDEX(Codes!$E$2:$E$108,MATCH("B8|"&amp;$AU185,Codes!$A$2:$A$108,0)))</f>
        <v/>
      </c>
      <c r="CA185" s="16" t="str">
        <f aca="false">IF($H185="","",INDEX(Codes!$E$2:$E$108,MATCH("A6|"&amp;$H185,Codes!$A$2:$A$108,0)))</f>
        <v/>
      </c>
      <c r="CB185" s="16" t="str">
        <f aca="false">IF($X185="","",IF($X185="phone",1,0))</f>
        <v/>
      </c>
      <c r="CC185" s="16" t="str">
        <f aca="false">IF($BC185="","",8-$BC185)</f>
        <v/>
      </c>
    </row>
    <row r="186" customFormat="false" ht="15" hidden="false" customHeight="false" outlineLevel="0" collapsed="false">
      <c r="BW186" s="16" t="str">
        <f aca="false">IF($R186="","",INDEX(Codes!$E$2:$E$108,MATCH("B1|"&amp;$R186,Codes!$A$2:$A$108,0)))</f>
        <v/>
      </c>
      <c r="BX186" s="16" t="str">
        <f aca="false">IF($Y186="","",INDEX(Codes!$E$2:$E$108,MATCH("B4|"&amp;$Y186,Codes!$A$2:$A$108,0)))</f>
        <v/>
      </c>
      <c r="BY186" s="16" t="str">
        <f aca="false">IF($I186="","",INDEX(Codes!$E$2:$E$108,MATCH("A7|"&amp;$I186,Codes!$A$2:$A$108,0)))</f>
        <v/>
      </c>
      <c r="BZ186" s="16" t="str">
        <f aca="false">IF($AU186="","",INDEX(Codes!$E$2:$E$108,MATCH("B8|"&amp;$AU186,Codes!$A$2:$A$108,0)))</f>
        <v/>
      </c>
      <c r="CA186" s="16" t="str">
        <f aca="false">IF($H186="","",INDEX(Codes!$E$2:$E$108,MATCH("A6|"&amp;$H186,Codes!$A$2:$A$108,0)))</f>
        <v/>
      </c>
      <c r="CB186" s="16" t="str">
        <f aca="false">IF($X186="","",IF($X186="phone",1,0))</f>
        <v/>
      </c>
      <c r="CC186" s="16" t="str">
        <f aca="false">IF($BC186="","",8-$BC186)</f>
        <v/>
      </c>
    </row>
    <row r="187" customFormat="false" ht="15" hidden="false" customHeight="false" outlineLevel="0" collapsed="false">
      <c r="BW187" s="16" t="str">
        <f aca="false">IF($R187="","",INDEX(Codes!$E$2:$E$108,MATCH("B1|"&amp;$R187,Codes!$A$2:$A$108,0)))</f>
        <v/>
      </c>
      <c r="BX187" s="16" t="str">
        <f aca="false">IF($Y187="","",INDEX(Codes!$E$2:$E$108,MATCH("B4|"&amp;$Y187,Codes!$A$2:$A$108,0)))</f>
        <v/>
      </c>
      <c r="BY187" s="16" t="str">
        <f aca="false">IF($I187="","",INDEX(Codes!$E$2:$E$108,MATCH("A7|"&amp;$I187,Codes!$A$2:$A$108,0)))</f>
        <v/>
      </c>
      <c r="BZ187" s="16" t="str">
        <f aca="false">IF($AU187="","",INDEX(Codes!$E$2:$E$108,MATCH("B8|"&amp;$AU187,Codes!$A$2:$A$108,0)))</f>
        <v/>
      </c>
      <c r="CA187" s="16" t="str">
        <f aca="false">IF($H187="","",INDEX(Codes!$E$2:$E$108,MATCH("A6|"&amp;$H187,Codes!$A$2:$A$108,0)))</f>
        <v/>
      </c>
      <c r="CB187" s="16" t="str">
        <f aca="false">IF($X187="","",IF($X187="phone",1,0))</f>
        <v/>
      </c>
      <c r="CC187" s="16" t="str">
        <f aca="false">IF($BC187="","",8-$BC187)</f>
        <v/>
      </c>
    </row>
    <row r="188" customFormat="false" ht="15" hidden="false" customHeight="false" outlineLevel="0" collapsed="false">
      <c r="BW188" s="16" t="str">
        <f aca="false">IF($R188="","",INDEX(Codes!$E$2:$E$108,MATCH("B1|"&amp;$R188,Codes!$A$2:$A$108,0)))</f>
        <v/>
      </c>
      <c r="BX188" s="16" t="str">
        <f aca="false">IF($Y188="","",INDEX(Codes!$E$2:$E$108,MATCH("B4|"&amp;$Y188,Codes!$A$2:$A$108,0)))</f>
        <v/>
      </c>
      <c r="BY188" s="16" t="str">
        <f aca="false">IF($I188="","",INDEX(Codes!$E$2:$E$108,MATCH("A7|"&amp;$I188,Codes!$A$2:$A$108,0)))</f>
        <v/>
      </c>
      <c r="BZ188" s="16" t="str">
        <f aca="false">IF($AU188="","",INDEX(Codes!$E$2:$E$108,MATCH("B8|"&amp;$AU188,Codes!$A$2:$A$108,0)))</f>
        <v/>
      </c>
      <c r="CA188" s="16" t="str">
        <f aca="false">IF($H188="","",INDEX(Codes!$E$2:$E$108,MATCH("A6|"&amp;$H188,Codes!$A$2:$A$108,0)))</f>
        <v/>
      </c>
      <c r="CB188" s="16" t="str">
        <f aca="false">IF($X188="","",IF($X188="phone",1,0))</f>
        <v/>
      </c>
      <c r="CC188" s="16" t="str">
        <f aca="false">IF($BC188="","",8-$BC188)</f>
        <v/>
      </c>
    </row>
    <row r="189" customFormat="false" ht="15" hidden="false" customHeight="false" outlineLevel="0" collapsed="false">
      <c r="BW189" s="16" t="str">
        <f aca="false">IF($R189="","",INDEX(Codes!$E$2:$E$108,MATCH("B1|"&amp;$R189,Codes!$A$2:$A$108,0)))</f>
        <v/>
      </c>
      <c r="BX189" s="16" t="str">
        <f aca="false">IF($Y189="","",INDEX(Codes!$E$2:$E$108,MATCH("B4|"&amp;$Y189,Codes!$A$2:$A$108,0)))</f>
        <v/>
      </c>
      <c r="BY189" s="16" t="str">
        <f aca="false">IF($I189="","",INDEX(Codes!$E$2:$E$108,MATCH("A7|"&amp;$I189,Codes!$A$2:$A$108,0)))</f>
        <v/>
      </c>
      <c r="BZ189" s="16" t="str">
        <f aca="false">IF($AU189="","",INDEX(Codes!$E$2:$E$108,MATCH("B8|"&amp;$AU189,Codes!$A$2:$A$108,0)))</f>
        <v/>
      </c>
      <c r="CA189" s="16" t="str">
        <f aca="false">IF($H189="","",INDEX(Codes!$E$2:$E$108,MATCH("A6|"&amp;$H189,Codes!$A$2:$A$108,0)))</f>
        <v/>
      </c>
      <c r="CB189" s="16" t="str">
        <f aca="false">IF($X189="","",IF($X189="phone",1,0))</f>
        <v/>
      </c>
      <c r="CC189" s="16" t="str">
        <f aca="false">IF($BC189="","",8-$BC189)</f>
        <v/>
      </c>
    </row>
    <row r="190" customFormat="false" ht="15" hidden="false" customHeight="false" outlineLevel="0" collapsed="false">
      <c r="BW190" s="16" t="str">
        <f aca="false">IF($R190="","",INDEX(Codes!$E$2:$E$108,MATCH("B1|"&amp;$R190,Codes!$A$2:$A$108,0)))</f>
        <v/>
      </c>
      <c r="BX190" s="16" t="str">
        <f aca="false">IF($Y190="","",INDEX(Codes!$E$2:$E$108,MATCH("B4|"&amp;$Y190,Codes!$A$2:$A$108,0)))</f>
        <v/>
      </c>
      <c r="BY190" s="16" t="str">
        <f aca="false">IF($I190="","",INDEX(Codes!$E$2:$E$108,MATCH("A7|"&amp;$I190,Codes!$A$2:$A$108,0)))</f>
        <v/>
      </c>
      <c r="BZ190" s="16" t="str">
        <f aca="false">IF($AU190="","",INDEX(Codes!$E$2:$E$108,MATCH("B8|"&amp;$AU190,Codes!$A$2:$A$108,0)))</f>
        <v/>
      </c>
      <c r="CA190" s="16" t="str">
        <f aca="false">IF($H190="","",INDEX(Codes!$E$2:$E$108,MATCH("A6|"&amp;$H190,Codes!$A$2:$A$108,0)))</f>
        <v/>
      </c>
      <c r="CB190" s="16" t="str">
        <f aca="false">IF($X190="","",IF($X190="phone",1,0))</f>
        <v/>
      </c>
      <c r="CC190" s="16" t="str">
        <f aca="false">IF($BC190="","",8-$BC190)</f>
        <v/>
      </c>
    </row>
    <row r="191" customFormat="false" ht="15" hidden="false" customHeight="false" outlineLevel="0" collapsed="false">
      <c r="BW191" s="16" t="str">
        <f aca="false">IF($R191="","",INDEX(Codes!$E$2:$E$108,MATCH("B1|"&amp;$R191,Codes!$A$2:$A$108,0)))</f>
        <v/>
      </c>
      <c r="BX191" s="16" t="str">
        <f aca="false">IF($Y191="","",INDEX(Codes!$E$2:$E$108,MATCH("B4|"&amp;$Y191,Codes!$A$2:$A$108,0)))</f>
        <v/>
      </c>
      <c r="BY191" s="16" t="str">
        <f aca="false">IF($I191="","",INDEX(Codes!$E$2:$E$108,MATCH("A7|"&amp;$I191,Codes!$A$2:$A$108,0)))</f>
        <v/>
      </c>
      <c r="BZ191" s="16" t="str">
        <f aca="false">IF($AU191="","",INDEX(Codes!$E$2:$E$108,MATCH("B8|"&amp;$AU191,Codes!$A$2:$A$108,0)))</f>
        <v/>
      </c>
      <c r="CA191" s="16" t="str">
        <f aca="false">IF($H191="","",INDEX(Codes!$E$2:$E$108,MATCH("A6|"&amp;$H191,Codes!$A$2:$A$108,0)))</f>
        <v/>
      </c>
      <c r="CB191" s="16" t="str">
        <f aca="false">IF($X191="","",IF($X191="phone",1,0))</f>
        <v/>
      </c>
      <c r="CC191" s="16" t="str">
        <f aca="false">IF($BC191="","",8-$BC191)</f>
        <v/>
      </c>
    </row>
    <row r="192" customFormat="false" ht="15" hidden="false" customHeight="false" outlineLevel="0" collapsed="false">
      <c r="BW192" s="16" t="str">
        <f aca="false">IF($R192="","",INDEX(Codes!$E$2:$E$108,MATCH("B1|"&amp;$R192,Codes!$A$2:$A$108,0)))</f>
        <v/>
      </c>
      <c r="BX192" s="16" t="str">
        <f aca="false">IF($Y192="","",INDEX(Codes!$E$2:$E$108,MATCH("B4|"&amp;$Y192,Codes!$A$2:$A$108,0)))</f>
        <v/>
      </c>
      <c r="BY192" s="16" t="str">
        <f aca="false">IF($I192="","",INDEX(Codes!$E$2:$E$108,MATCH("A7|"&amp;$I192,Codes!$A$2:$A$108,0)))</f>
        <v/>
      </c>
      <c r="BZ192" s="16" t="str">
        <f aca="false">IF($AU192="","",INDEX(Codes!$E$2:$E$108,MATCH("B8|"&amp;$AU192,Codes!$A$2:$A$108,0)))</f>
        <v/>
      </c>
      <c r="CA192" s="16" t="str">
        <f aca="false">IF($H192="","",INDEX(Codes!$E$2:$E$108,MATCH("A6|"&amp;$H192,Codes!$A$2:$A$108,0)))</f>
        <v/>
      </c>
      <c r="CB192" s="16" t="str">
        <f aca="false">IF($X192="","",IF($X192="phone",1,0))</f>
        <v/>
      </c>
      <c r="CC192" s="16" t="str">
        <f aca="false">IF($BC192="","",8-$BC192)</f>
        <v/>
      </c>
    </row>
    <row r="193" customFormat="false" ht="15" hidden="false" customHeight="false" outlineLevel="0" collapsed="false">
      <c r="BW193" s="16" t="str">
        <f aca="false">IF($R193="","",INDEX(Codes!$E$2:$E$108,MATCH("B1|"&amp;$R193,Codes!$A$2:$A$108,0)))</f>
        <v/>
      </c>
      <c r="BX193" s="16" t="str">
        <f aca="false">IF($Y193="","",INDEX(Codes!$E$2:$E$108,MATCH("B4|"&amp;$Y193,Codes!$A$2:$A$108,0)))</f>
        <v/>
      </c>
      <c r="BY193" s="16" t="str">
        <f aca="false">IF($I193="","",INDEX(Codes!$E$2:$E$108,MATCH("A7|"&amp;$I193,Codes!$A$2:$A$108,0)))</f>
        <v/>
      </c>
      <c r="BZ193" s="16" t="str">
        <f aca="false">IF($AU193="","",INDEX(Codes!$E$2:$E$108,MATCH("B8|"&amp;$AU193,Codes!$A$2:$A$108,0)))</f>
        <v/>
      </c>
      <c r="CA193" s="16" t="str">
        <f aca="false">IF($H193="","",INDEX(Codes!$E$2:$E$108,MATCH("A6|"&amp;$H193,Codes!$A$2:$A$108,0)))</f>
        <v/>
      </c>
      <c r="CB193" s="16" t="str">
        <f aca="false">IF($X193="","",IF($X193="phone",1,0))</f>
        <v/>
      </c>
      <c r="CC193" s="16" t="str">
        <f aca="false">IF($BC193="","",8-$BC193)</f>
        <v/>
      </c>
    </row>
    <row r="194" customFormat="false" ht="15" hidden="false" customHeight="false" outlineLevel="0" collapsed="false">
      <c r="BW194" s="16" t="str">
        <f aca="false">IF($R194="","",INDEX(Codes!$E$2:$E$108,MATCH("B1|"&amp;$R194,Codes!$A$2:$A$108,0)))</f>
        <v/>
      </c>
      <c r="BX194" s="16" t="str">
        <f aca="false">IF($Y194="","",INDEX(Codes!$E$2:$E$108,MATCH("B4|"&amp;$Y194,Codes!$A$2:$A$108,0)))</f>
        <v/>
      </c>
      <c r="BY194" s="16" t="str">
        <f aca="false">IF($I194="","",INDEX(Codes!$E$2:$E$108,MATCH("A7|"&amp;$I194,Codes!$A$2:$A$108,0)))</f>
        <v/>
      </c>
      <c r="BZ194" s="16" t="str">
        <f aca="false">IF($AU194="","",INDEX(Codes!$E$2:$E$108,MATCH("B8|"&amp;$AU194,Codes!$A$2:$A$108,0)))</f>
        <v/>
      </c>
      <c r="CA194" s="16" t="str">
        <f aca="false">IF($H194="","",INDEX(Codes!$E$2:$E$108,MATCH("A6|"&amp;$H194,Codes!$A$2:$A$108,0)))</f>
        <v/>
      </c>
      <c r="CB194" s="16" t="str">
        <f aca="false">IF($X194="","",IF($X194="phone",1,0))</f>
        <v/>
      </c>
      <c r="CC194" s="16" t="str">
        <f aca="false">IF($BC194="","",8-$BC194)</f>
        <v/>
      </c>
    </row>
    <row r="195" customFormat="false" ht="15" hidden="false" customHeight="false" outlineLevel="0" collapsed="false">
      <c r="BW195" s="16" t="str">
        <f aca="false">IF($R195="","",INDEX(Codes!$E$2:$E$108,MATCH("B1|"&amp;$R195,Codes!$A$2:$A$108,0)))</f>
        <v/>
      </c>
      <c r="BX195" s="16" t="str">
        <f aca="false">IF($Y195="","",INDEX(Codes!$E$2:$E$108,MATCH("B4|"&amp;$Y195,Codes!$A$2:$A$108,0)))</f>
        <v/>
      </c>
      <c r="BY195" s="16" t="str">
        <f aca="false">IF($I195="","",INDEX(Codes!$E$2:$E$108,MATCH("A7|"&amp;$I195,Codes!$A$2:$A$108,0)))</f>
        <v/>
      </c>
      <c r="BZ195" s="16" t="str">
        <f aca="false">IF($AU195="","",INDEX(Codes!$E$2:$E$108,MATCH("B8|"&amp;$AU195,Codes!$A$2:$A$108,0)))</f>
        <v/>
      </c>
      <c r="CA195" s="16" t="str">
        <f aca="false">IF($H195="","",INDEX(Codes!$E$2:$E$108,MATCH("A6|"&amp;$H195,Codes!$A$2:$A$108,0)))</f>
        <v/>
      </c>
      <c r="CB195" s="16" t="str">
        <f aca="false">IF($X195="","",IF($X195="phone",1,0))</f>
        <v/>
      </c>
      <c r="CC195" s="16" t="str">
        <f aca="false">IF($BC195="","",8-$BC195)</f>
        <v/>
      </c>
    </row>
    <row r="196" customFormat="false" ht="15" hidden="false" customHeight="false" outlineLevel="0" collapsed="false">
      <c r="BW196" s="16" t="str">
        <f aca="false">IF($R196="","",INDEX(Codes!$E$2:$E$108,MATCH("B1|"&amp;$R196,Codes!$A$2:$A$108,0)))</f>
        <v/>
      </c>
      <c r="BX196" s="16" t="str">
        <f aca="false">IF($Y196="","",INDEX(Codes!$E$2:$E$108,MATCH("B4|"&amp;$Y196,Codes!$A$2:$A$108,0)))</f>
        <v/>
      </c>
      <c r="BY196" s="16" t="str">
        <f aca="false">IF($I196="","",INDEX(Codes!$E$2:$E$108,MATCH("A7|"&amp;$I196,Codes!$A$2:$A$108,0)))</f>
        <v/>
      </c>
      <c r="BZ196" s="16" t="str">
        <f aca="false">IF($AU196="","",INDEX(Codes!$E$2:$E$108,MATCH("B8|"&amp;$AU196,Codes!$A$2:$A$108,0)))</f>
        <v/>
      </c>
      <c r="CA196" s="16" t="str">
        <f aca="false">IF($H196="","",INDEX(Codes!$E$2:$E$108,MATCH("A6|"&amp;$H196,Codes!$A$2:$A$108,0)))</f>
        <v/>
      </c>
      <c r="CB196" s="16" t="str">
        <f aca="false">IF($X196="","",IF($X196="phone",1,0))</f>
        <v/>
      </c>
      <c r="CC196" s="16" t="str">
        <f aca="false">IF($BC196="","",8-$BC196)</f>
        <v/>
      </c>
    </row>
    <row r="197" customFormat="false" ht="15" hidden="false" customHeight="false" outlineLevel="0" collapsed="false">
      <c r="BW197" s="16" t="str">
        <f aca="false">IF($R197="","",INDEX(Codes!$E$2:$E$108,MATCH("B1|"&amp;$R197,Codes!$A$2:$A$108,0)))</f>
        <v/>
      </c>
      <c r="BX197" s="16" t="str">
        <f aca="false">IF($Y197="","",INDEX(Codes!$E$2:$E$108,MATCH("B4|"&amp;$Y197,Codes!$A$2:$A$108,0)))</f>
        <v/>
      </c>
      <c r="BY197" s="16" t="str">
        <f aca="false">IF($I197="","",INDEX(Codes!$E$2:$E$108,MATCH("A7|"&amp;$I197,Codes!$A$2:$A$108,0)))</f>
        <v/>
      </c>
      <c r="BZ197" s="16" t="str">
        <f aca="false">IF($AU197="","",INDEX(Codes!$E$2:$E$108,MATCH("B8|"&amp;$AU197,Codes!$A$2:$A$108,0)))</f>
        <v/>
      </c>
      <c r="CA197" s="16" t="str">
        <f aca="false">IF($H197="","",INDEX(Codes!$E$2:$E$108,MATCH("A6|"&amp;$H197,Codes!$A$2:$A$108,0)))</f>
        <v/>
      </c>
      <c r="CB197" s="16" t="str">
        <f aca="false">IF($X197="","",IF($X197="phone",1,0))</f>
        <v/>
      </c>
      <c r="CC197" s="16" t="str">
        <f aca="false">IF($BC197="","",8-$BC197)</f>
        <v/>
      </c>
    </row>
    <row r="198" customFormat="false" ht="15" hidden="false" customHeight="false" outlineLevel="0" collapsed="false">
      <c r="BW198" s="16" t="str">
        <f aca="false">IF($R198="","",INDEX(Codes!$E$2:$E$108,MATCH("B1|"&amp;$R198,Codes!$A$2:$A$108,0)))</f>
        <v/>
      </c>
      <c r="BX198" s="16" t="str">
        <f aca="false">IF($Y198="","",INDEX(Codes!$E$2:$E$108,MATCH("B4|"&amp;$Y198,Codes!$A$2:$A$108,0)))</f>
        <v/>
      </c>
      <c r="BY198" s="16" t="str">
        <f aca="false">IF($I198="","",INDEX(Codes!$E$2:$E$108,MATCH("A7|"&amp;$I198,Codes!$A$2:$A$108,0)))</f>
        <v/>
      </c>
      <c r="BZ198" s="16" t="str">
        <f aca="false">IF($AU198="","",INDEX(Codes!$E$2:$E$108,MATCH("B8|"&amp;$AU198,Codes!$A$2:$A$108,0)))</f>
        <v/>
      </c>
      <c r="CA198" s="16" t="str">
        <f aca="false">IF($H198="","",INDEX(Codes!$E$2:$E$108,MATCH("A6|"&amp;$H198,Codes!$A$2:$A$108,0)))</f>
        <v/>
      </c>
      <c r="CB198" s="16" t="str">
        <f aca="false">IF($X198="","",IF($X198="phone",1,0))</f>
        <v/>
      </c>
      <c r="CC198" s="16" t="str">
        <f aca="false">IF($BC198="","",8-$BC198)</f>
        <v/>
      </c>
    </row>
    <row r="199" customFormat="false" ht="15" hidden="false" customHeight="false" outlineLevel="0" collapsed="false">
      <c r="BW199" s="16" t="str">
        <f aca="false">IF($R199="","",INDEX(Codes!$E$2:$E$108,MATCH("B1|"&amp;$R199,Codes!$A$2:$A$108,0)))</f>
        <v/>
      </c>
      <c r="BX199" s="16" t="str">
        <f aca="false">IF($Y199="","",INDEX(Codes!$E$2:$E$108,MATCH("B4|"&amp;$Y199,Codes!$A$2:$A$108,0)))</f>
        <v/>
      </c>
      <c r="BY199" s="16" t="str">
        <f aca="false">IF($I199="","",INDEX(Codes!$E$2:$E$108,MATCH("A7|"&amp;$I199,Codes!$A$2:$A$108,0)))</f>
        <v/>
      </c>
      <c r="BZ199" s="16" t="str">
        <f aca="false">IF($AU199="","",INDEX(Codes!$E$2:$E$108,MATCH("B8|"&amp;$AU199,Codes!$A$2:$A$108,0)))</f>
        <v/>
      </c>
      <c r="CA199" s="16" t="str">
        <f aca="false">IF($H199="","",INDEX(Codes!$E$2:$E$108,MATCH("A6|"&amp;$H199,Codes!$A$2:$A$108,0)))</f>
        <v/>
      </c>
      <c r="CB199" s="16" t="str">
        <f aca="false">IF($X199="","",IF($X199="phone",1,0))</f>
        <v/>
      </c>
      <c r="CC199" s="16" t="str">
        <f aca="false">IF($BC199="","",8-$BC199)</f>
        <v/>
      </c>
    </row>
    <row r="200" customFormat="false" ht="15" hidden="false" customHeight="false" outlineLevel="0" collapsed="false">
      <c r="BW200" s="16" t="str">
        <f aca="false">IF($R200="","",INDEX(Codes!$E$2:$E$108,MATCH("B1|"&amp;$R200,Codes!$A$2:$A$108,0)))</f>
        <v/>
      </c>
      <c r="BX200" s="16" t="str">
        <f aca="false">IF($Y200="","",INDEX(Codes!$E$2:$E$108,MATCH("B4|"&amp;$Y200,Codes!$A$2:$A$108,0)))</f>
        <v/>
      </c>
      <c r="BY200" s="16" t="str">
        <f aca="false">IF($I200="","",INDEX(Codes!$E$2:$E$108,MATCH("A7|"&amp;$I200,Codes!$A$2:$A$108,0)))</f>
        <v/>
      </c>
      <c r="BZ200" s="16" t="str">
        <f aca="false">IF($AU200="","",INDEX(Codes!$E$2:$E$108,MATCH("B8|"&amp;$AU200,Codes!$A$2:$A$108,0)))</f>
        <v/>
      </c>
      <c r="CA200" s="16" t="str">
        <f aca="false">IF($H200="","",INDEX(Codes!$E$2:$E$108,MATCH("A6|"&amp;$H200,Codes!$A$2:$A$108,0)))</f>
        <v/>
      </c>
      <c r="CB200" s="16" t="str">
        <f aca="false">IF($X200="","",IF($X200="phone",1,0))</f>
        <v/>
      </c>
      <c r="CC200" s="16" t="str">
        <f aca="false">IF($BC200="","",8-$BC200)</f>
        <v/>
      </c>
    </row>
    <row r="201" customFormat="false" ht="15" hidden="false" customHeight="false" outlineLevel="0" collapsed="false">
      <c r="BW201" s="16" t="str">
        <f aca="false">IF($R201="","",INDEX(Codes!$E$2:$E$108,MATCH("B1|"&amp;$R201,Codes!$A$2:$A$108,0)))</f>
        <v/>
      </c>
      <c r="BX201" s="16" t="str">
        <f aca="false">IF($Y201="","",INDEX(Codes!$E$2:$E$108,MATCH("B4|"&amp;$Y201,Codes!$A$2:$A$108,0)))</f>
        <v/>
      </c>
      <c r="BY201" s="16" t="str">
        <f aca="false">IF($I201="","",INDEX(Codes!$E$2:$E$108,MATCH("A7|"&amp;$I201,Codes!$A$2:$A$108,0)))</f>
        <v/>
      </c>
      <c r="BZ201" s="16" t="str">
        <f aca="false">IF($AU201="","",INDEX(Codes!$E$2:$E$108,MATCH("B8|"&amp;$AU201,Codes!$A$2:$A$108,0)))</f>
        <v/>
      </c>
      <c r="CA201" s="16" t="str">
        <f aca="false">IF($H201="","",INDEX(Codes!$E$2:$E$108,MATCH("A6|"&amp;$H201,Codes!$A$2:$A$108,0)))</f>
        <v/>
      </c>
      <c r="CB201" s="16" t="str">
        <f aca="false">IF($X201="","",IF($X201="phone",1,0))</f>
        <v/>
      </c>
      <c r="CC201" s="16" t="str">
        <f aca="false">IF($BC201="","",8-$BC201)</f>
        <v/>
      </c>
    </row>
    <row r="202" customFormat="false" ht="15" hidden="false" customHeight="false" outlineLevel="0" collapsed="false">
      <c r="BW202" s="16" t="str">
        <f aca="false">IF($R202="","",INDEX(Codes!$E$2:$E$108,MATCH("B1|"&amp;$R202,Codes!$A$2:$A$108,0)))</f>
        <v/>
      </c>
      <c r="BX202" s="16" t="str">
        <f aca="false">IF($Y202="","",INDEX(Codes!$E$2:$E$108,MATCH("B4|"&amp;$Y202,Codes!$A$2:$A$108,0)))</f>
        <v/>
      </c>
      <c r="BY202" s="16" t="str">
        <f aca="false">IF($I202="","",INDEX(Codes!$E$2:$E$108,MATCH("A7|"&amp;$I202,Codes!$A$2:$A$108,0)))</f>
        <v/>
      </c>
      <c r="BZ202" s="16" t="str">
        <f aca="false">IF($AU202="","",INDEX(Codes!$E$2:$E$108,MATCH("B8|"&amp;$AU202,Codes!$A$2:$A$108,0)))</f>
        <v/>
      </c>
      <c r="CA202" s="16" t="str">
        <f aca="false">IF($H202="","",INDEX(Codes!$E$2:$E$108,MATCH("A6|"&amp;$H202,Codes!$A$2:$A$108,0)))</f>
        <v/>
      </c>
      <c r="CB202" s="16" t="str">
        <f aca="false">IF($X202="","",IF($X202="phone",1,0))</f>
        <v/>
      </c>
      <c r="CC202" s="16" t="str">
        <f aca="false">IF($BC202="","",8-$BC202)</f>
        <v/>
      </c>
    </row>
    <row r="203" customFormat="false" ht="15" hidden="false" customHeight="false" outlineLevel="0" collapsed="false">
      <c r="BW203" s="16" t="str">
        <f aca="false">IF($R203="","",INDEX(Codes!$E$2:$E$108,MATCH("B1|"&amp;$R203,Codes!$A$2:$A$108,0)))</f>
        <v/>
      </c>
      <c r="BX203" s="16" t="str">
        <f aca="false">IF($Y203="","",INDEX(Codes!$E$2:$E$108,MATCH("B4|"&amp;$Y203,Codes!$A$2:$A$108,0)))</f>
        <v/>
      </c>
      <c r="BY203" s="16" t="str">
        <f aca="false">IF($I203="","",INDEX(Codes!$E$2:$E$108,MATCH("A7|"&amp;$I203,Codes!$A$2:$A$108,0)))</f>
        <v/>
      </c>
      <c r="BZ203" s="16" t="str">
        <f aca="false">IF($AU203="","",INDEX(Codes!$E$2:$E$108,MATCH("B8|"&amp;$AU203,Codes!$A$2:$A$108,0)))</f>
        <v/>
      </c>
      <c r="CA203" s="16" t="str">
        <f aca="false">IF($H203="","",INDEX(Codes!$E$2:$E$108,MATCH("A6|"&amp;$H203,Codes!$A$2:$A$108,0)))</f>
        <v/>
      </c>
      <c r="CB203" s="16" t="str">
        <f aca="false">IF($X203="","",IF($X203="phone",1,0))</f>
        <v/>
      </c>
      <c r="CC203" s="16" t="str">
        <f aca="false">IF($BC203="","",8-$BC203)</f>
        <v/>
      </c>
    </row>
    <row r="204" customFormat="false" ht="15" hidden="false" customHeight="false" outlineLevel="0" collapsed="false">
      <c r="BW204" s="16" t="str">
        <f aca="false">IF($R204="","",INDEX(Codes!$E$2:$E$108,MATCH("B1|"&amp;$R204,Codes!$A$2:$A$108,0)))</f>
        <v/>
      </c>
      <c r="BX204" s="16" t="str">
        <f aca="false">IF($Y204="","",INDEX(Codes!$E$2:$E$108,MATCH("B4|"&amp;$Y204,Codes!$A$2:$A$108,0)))</f>
        <v/>
      </c>
      <c r="BY204" s="16" t="str">
        <f aca="false">IF($I204="","",INDEX(Codes!$E$2:$E$108,MATCH("A7|"&amp;$I204,Codes!$A$2:$A$108,0)))</f>
        <v/>
      </c>
      <c r="BZ204" s="16" t="str">
        <f aca="false">IF($AU204="","",INDEX(Codes!$E$2:$E$108,MATCH("B8|"&amp;$AU204,Codes!$A$2:$A$108,0)))</f>
        <v/>
      </c>
      <c r="CA204" s="16" t="str">
        <f aca="false">IF($H204="","",INDEX(Codes!$E$2:$E$108,MATCH("A6|"&amp;$H204,Codes!$A$2:$A$108,0)))</f>
        <v/>
      </c>
      <c r="CB204" s="16" t="str">
        <f aca="false">IF($X204="","",IF($X204="phone",1,0))</f>
        <v/>
      </c>
      <c r="CC204" s="16" t="str">
        <f aca="false">IF($BC204="","",8-$BC204)</f>
        <v/>
      </c>
    </row>
    <row r="205" customFormat="false" ht="15" hidden="false" customHeight="false" outlineLevel="0" collapsed="false">
      <c r="BW205" s="16" t="str">
        <f aca="false">IF($R205="","",INDEX(Codes!$E$2:$E$108,MATCH("B1|"&amp;$R205,Codes!$A$2:$A$108,0)))</f>
        <v/>
      </c>
      <c r="BX205" s="16" t="str">
        <f aca="false">IF($Y205="","",INDEX(Codes!$E$2:$E$108,MATCH("B4|"&amp;$Y205,Codes!$A$2:$A$108,0)))</f>
        <v/>
      </c>
      <c r="BY205" s="16" t="str">
        <f aca="false">IF($I205="","",INDEX(Codes!$E$2:$E$108,MATCH("A7|"&amp;$I205,Codes!$A$2:$A$108,0)))</f>
        <v/>
      </c>
      <c r="BZ205" s="16" t="str">
        <f aca="false">IF($AU205="","",INDEX(Codes!$E$2:$E$108,MATCH("B8|"&amp;$AU205,Codes!$A$2:$A$108,0)))</f>
        <v/>
      </c>
      <c r="CA205" s="16" t="str">
        <f aca="false">IF($H205="","",INDEX(Codes!$E$2:$E$108,MATCH("A6|"&amp;$H205,Codes!$A$2:$A$108,0)))</f>
        <v/>
      </c>
      <c r="CB205" s="16" t="str">
        <f aca="false">IF($X205="","",IF($X205="phone",1,0))</f>
        <v/>
      </c>
      <c r="CC205" s="16" t="str">
        <f aca="false">IF($BC205="","",8-$BC205)</f>
        <v/>
      </c>
    </row>
    <row r="206" customFormat="false" ht="15" hidden="false" customHeight="false" outlineLevel="0" collapsed="false">
      <c r="BW206" s="16" t="str">
        <f aca="false">IF($R206="","",INDEX(Codes!$E$2:$E$108,MATCH("B1|"&amp;$R206,Codes!$A$2:$A$108,0)))</f>
        <v/>
      </c>
      <c r="BX206" s="16" t="str">
        <f aca="false">IF($Y206="","",INDEX(Codes!$E$2:$E$108,MATCH("B4|"&amp;$Y206,Codes!$A$2:$A$108,0)))</f>
        <v/>
      </c>
      <c r="BY206" s="16" t="str">
        <f aca="false">IF($I206="","",INDEX(Codes!$E$2:$E$108,MATCH("A7|"&amp;$I206,Codes!$A$2:$A$108,0)))</f>
        <v/>
      </c>
      <c r="BZ206" s="16" t="str">
        <f aca="false">IF($AU206="","",INDEX(Codes!$E$2:$E$108,MATCH("B8|"&amp;$AU206,Codes!$A$2:$A$108,0)))</f>
        <v/>
      </c>
      <c r="CA206" s="16" t="str">
        <f aca="false">IF($H206="","",INDEX(Codes!$E$2:$E$108,MATCH("A6|"&amp;$H206,Codes!$A$2:$A$108,0)))</f>
        <v/>
      </c>
      <c r="CB206" s="16" t="str">
        <f aca="false">IF($X206="","",IF($X206="phone",1,0))</f>
        <v/>
      </c>
      <c r="CC206" s="16" t="str">
        <f aca="false">IF($BC206="","",8-$BC206)</f>
        <v/>
      </c>
    </row>
    <row r="207" customFormat="false" ht="15" hidden="false" customHeight="false" outlineLevel="0" collapsed="false">
      <c r="BW207" s="16" t="str">
        <f aca="false">IF($R207="","",INDEX(Codes!$E$2:$E$108,MATCH("B1|"&amp;$R207,Codes!$A$2:$A$108,0)))</f>
        <v/>
      </c>
      <c r="BX207" s="16" t="str">
        <f aca="false">IF($Y207="","",INDEX(Codes!$E$2:$E$108,MATCH("B4|"&amp;$Y207,Codes!$A$2:$A$108,0)))</f>
        <v/>
      </c>
      <c r="BY207" s="16" t="str">
        <f aca="false">IF($I207="","",INDEX(Codes!$E$2:$E$108,MATCH("A7|"&amp;$I207,Codes!$A$2:$A$108,0)))</f>
        <v/>
      </c>
      <c r="BZ207" s="16" t="str">
        <f aca="false">IF($AU207="","",INDEX(Codes!$E$2:$E$108,MATCH("B8|"&amp;$AU207,Codes!$A$2:$A$108,0)))</f>
        <v/>
      </c>
      <c r="CA207" s="16" t="str">
        <f aca="false">IF($H207="","",INDEX(Codes!$E$2:$E$108,MATCH("A6|"&amp;$H207,Codes!$A$2:$A$108,0)))</f>
        <v/>
      </c>
      <c r="CB207" s="16" t="str">
        <f aca="false">IF($X207="","",IF($X207="phone",1,0))</f>
        <v/>
      </c>
      <c r="CC207" s="16" t="str">
        <f aca="false">IF($BC207="","",8-$BC207)</f>
        <v/>
      </c>
    </row>
    <row r="208" customFormat="false" ht="15" hidden="false" customHeight="false" outlineLevel="0" collapsed="false">
      <c r="BW208" s="16" t="str">
        <f aca="false">IF($R208="","",INDEX(Codes!$E$2:$E$108,MATCH("B1|"&amp;$R208,Codes!$A$2:$A$108,0)))</f>
        <v/>
      </c>
      <c r="BX208" s="16" t="str">
        <f aca="false">IF($Y208="","",INDEX(Codes!$E$2:$E$108,MATCH("B4|"&amp;$Y208,Codes!$A$2:$A$108,0)))</f>
        <v/>
      </c>
      <c r="BY208" s="16" t="str">
        <f aca="false">IF($I208="","",INDEX(Codes!$E$2:$E$108,MATCH("A7|"&amp;$I208,Codes!$A$2:$A$108,0)))</f>
        <v/>
      </c>
      <c r="BZ208" s="16" t="str">
        <f aca="false">IF($AU208="","",INDEX(Codes!$E$2:$E$108,MATCH("B8|"&amp;$AU208,Codes!$A$2:$A$108,0)))</f>
        <v/>
      </c>
      <c r="CA208" s="16" t="str">
        <f aca="false">IF($H208="","",INDEX(Codes!$E$2:$E$108,MATCH("A6|"&amp;$H208,Codes!$A$2:$A$108,0)))</f>
        <v/>
      </c>
      <c r="CB208" s="16" t="str">
        <f aca="false">IF($X208="","",IF($X208="phone",1,0))</f>
        <v/>
      </c>
      <c r="CC208" s="16" t="str">
        <f aca="false">IF($BC208="","",8-$BC208)</f>
        <v/>
      </c>
    </row>
    <row r="209" customFormat="false" ht="15" hidden="false" customHeight="false" outlineLevel="0" collapsed="false">
      <c r="BW209" s="16" t="str">
        <f aca="false">IF($R209="","",INDEX(Codes!$E$2:$E$108,MATCH("B1|"&amp;$R209,Codes!$A$2:$A$108,0)))</f>
        <v/>
      </c>
      <c r="BX209" s="16" t="str">
        <f aca="false">IF($Y209="","",INDEX(Codes!$E$2:$E$108,MATCH("B4|"&amp;$Y209,Codes!$A$2:$A$108,0)))</f>
        <v/>
      </c>
      <c r="BY209" s="16" t="str">
        <f aca="false">IF($I209="","",INDEX(Codes!$E$2:$E$108,MATCH("A7|"&amp;$I209,Codes!$A$2:$A$108,0)))</f>
        <v/>
      </c>
      <c r="BZ209" s="16" t="str">
        <f aca="false">IF($AU209="","",INDEX(Codes!$E$2:$E$108,MATCH("B8|"&amp;$AU209,Codes!$A$2:$A$108,0)))</f>
        <v/>
      </c>
      <c r="CA209" s="16" t="str">
        <f aca="false">IF($H209="","",INDEX(Codes!$E$2:$E$108,MATCH("A6|"&amp;$H209,Codes!$A$2:$A$108,0)))</f>
        <v/>
      </c>
      <c r="CB209" s="16" t="str">
        <f aca="false">IF($X209="","",IF($X209="phone",1,0))</f>
        <v/>
      </c>
      <c r="CC209" s="16" t="str">
        <f aca="false">IF($BC209="","",8-$BC209)</f>
        <v/>
      </c>
    </row>
    <row r="210" customFormat="false" ht="15" hidden="false" customHeight="false" outlineLevel="0" collapsed="false">
      <c r="BW210" s="16" t="str">
        <f aca="false">IF($R210="","",INDEX(Codes!$E$2:$E$108,MATCH("B1|"&amp;$R210,Codes!$A$2:$A$108,0)))</f>
        <v/>
      </c>
      <c r="BX210" s="16" t="str">
        <f aca="false">IF($Y210="","",INDEX(Codes!$E$2:$E$108,MATCH("B4|"&amp;$Y210,Codes!$A$2:$A$108,0)))</f>
        <v/>
      </c>
      <c r="BY210" s="16" t="str">
        <f aca="false">IF($I210="","",INDEX(Codes!$E$2:$E$108,MATCH("A7|"&amp;$I210,Codes!$A$2:$A$108,0)))</f>
        <v/>
      </c>
      <c r="BZ210" s="16" t="str">
        <f aca="false">IF($AU210="","",INDEX(Codes!$E$2:$E$108,MATCH("B8|"&amp;$AU210,Codes!$A$2:$A$108,0)))</f>
        <v/>
      </c>
      <c r="CA210" s="16" t="str">
        <f aca="false">IF($H210="","",INDEX(Codes!$E$2:$E$108,MATCH("A6|"&amp;$H210,Codes!$A$2:$A$108,0)))</f>
        <v/>
      </c>
      <c r="CB210" s="16" t="str">
        <f aca="false">IF($X210="","",IF($X210="phone",1,0))</f>
        <v/>
      </c>
      <c r="CC210" s="16" t="str">
        <f aca="false">IF($BC210="","",8-$BC210)</f>
        <v/>
      </c>
    </row>
    <row r="211" customFormat="false" ht="15" hidden="false" customHeight="false" outlineLevel="0" collapsed="false">
      <c r="BW211" s="16" t="str">
        <f aca="false">IF($R211="","",INDEX(Codes!$E$2:$E$108,MATCH("B1|"&amp;$R211,Codes!$A$2:$A$108,0)))</f>
        <v/>
      </c>
      <c r="BX211" s="16" t="str">
        <f aca="false">IF($Y211="","",INDEX(Codes!$E$2:$E$108,MATCH("B4|"&amp;$Y211,Codes!$A$2:$A$108,0)))</f>
        <v/>
      </c>
      <c r="BY211" s="16" t="str">
        <f aca="false">IF($I211="","",INDEX(Codes!$E$2:$E$108,MATCH("A7|"&amp;$I211,Codes!$A$2:$A$108,0)))</f>
        <v/>
      </c>
      <c r="BZ211" s="16" t="str">
        <f aca="false">IF($AU211="","",INDEX(Codes!$E$2:$E$108,MATCH("B8|"&amp;$AU211,Codes!$A$2:$A$108,0)))</f>
        <v/>
      </c>
      <c r="CA211" s="16" t="str">
        <f aca="false">IF($H211="","",INDEX(Codes!$E$2:$E$108,MATCH("A6|"&amp;$H211,Codes!$A$2:$A$108,0)))</f>
        <v/>
      </c>
      <c r="CB211" s="16" t="str">
        <f aca="false">IF($X211="","",IF($X211="phone",1,0))</f>
        <v/>
      </c>
      <c r="CC211" s="16" t="str">
        <f aca="false">IF($BC211="","",8-$BC211)</f>
        <v/>
      </c>
    </row>
    <row r="212" customFormat="false" ht="15" hidden="false" customHeight="false" outlineLevel="0" collapsed="false">
      <c r="BW212" s="16" t="str">
        <f aca="false">IF($R212="","",INDEX(Codes!$E$2:$E$108,MATCH("B1|"&amp;$R212,Codes!$A$2:$A$108,0)))</f>
        <v/>
      </c>
      <c r="BX212" s="16" t="str">
        <f aca="false">IF($Y212="","",INDEX(Codes!$E$2:$E$108,MATCH("B4|"&amp;$Y212,Codes!$A$2:$A$108,0)))</f>
        <v/>
      </c>
      <c r="BY212" s="16" t="str">
        <f aca="false">IF($I212="","",INDEX(Codes!$E$2:$E$108,MATCH("A7|"&amp;$I212,Codes!$A$2:$A$108,0)))</f>
        <v/>
      </c>
      <c r="BZ212" s="16" t="str">
        <f aca="false">IF($AU212="","",INDEX(Codes!$E$2:$E$108,MATCH("B8|"&amp;$AU212,Codes!$A$2:$A$108,0)))</f>
        <v/>
      </c>
      <c r="CA212" s="16" t="str">
        <f aca="false">IF($H212="","",INDEX(Codes!$E$2:$E$108,MATCH("A6|"&amp;$H212,Codes!$A$2:$A$108,0)))</f>
        <v/>
      </c>
      <c r="CB212" s="16" t="str">
        <f aca="false">IF($X212="","",IF($X212="phone",1,0))</f>
        <v/>
      </c>
      <c r="CC212" s="16" t="str">
        <f aca="false">IF($BC212="","",8-$BC212)</f>
        <v/>
      </c>
    </row>
    <row r="213" customFormat="false" ht="15" hidden="false" customHeight="false" outlineLevel="0" collapsed="false">
      <c r="BW213" s="16" t="str">
        <f aca="false">IF($R213="","",INDEX(Codes!$E$2:$E$108,MATCH("B1|"&amp;$R213,Codes!$A$2:$A$108,0)))</f>
        <v/>
      </c>
      <c r="BX213" s="16" t="str">
        <f aca="false">IF($Y213="","",INDEX(Codes!$E$2:$E$108,MATCH("B4|"&amp;$Y213,Codes!$A$2:$A$108,0)))</f>
        <v/>
      </c>
      <c r="BY213" s="16" t="str">
        <f aca="false">IF($I213="","",INDEX(Codes!$E$2:$E$108,MATCH("A7|"&amp;$I213,Codes!$A$2:$A$108,0)))</f>
        <v/>
      </c>
      <c r="BZ213" s="16" t="str">
        <f aca="false">IF($AU213="","",INDEX(Codes!$E$2:$E$108,MATCH("B8|"&amp;$AU213,Codes!$A$2:$A$108,0)))</f>
        <v/>
      </c>
      <c r="CA213" s="16" t="str">
        <f aca="false">IF($H213="","",INDEX(Codes!$E$2:$E$108,MATCH("A6|"&amp;$H213,Codes!$A$2:$A$108,0)))</f>
        <v/>
      </c>
      <c r="CB213" s="16" t="str">
        <f aca="false">IF($X213="","",IF($X213="phone",1,0))</f>
        <v/>
      </c>
      <c r="CC213" s="16" t="str">
        <f aca="false">IF($BC213="","",8-$BC213)</f>
        <v/>
      </c>
    </row>
    <row r="214" customFormat="false" ht="15" hidden="false" customHeight="false" outlineLevel="0" collapsed="false">
      <c r="BW214" s="16" t="str">
        <f aca="false">IF($R214="","",INDEX(Codes!$E$2:$E$108,MATCH("B1|"&amp;$R214,Codes!$A$2:$A$108,0)))</f>
        <v/>
      </c>
      <c r="BX214" s="16" t="str">
        <f aca="false">IF($Y214="","",INDEX(Codes!$E$2:$E$108,MATCH("B4|"&amp;$Y214,Codes!$A$2:$A$108,0)))</f>
        <v/>
      </c>
      <c r="BY214" s="16" t="str">
        <f aca="false">IF($I214="","",INDEX(Codes!$E$2:$E$108,MATCH("A7|"&amp;$I214,Codes!$A$2:$A$108,0)))</f>
        <v/>
      </c>
      <c r="BZ214" s="16" t="str">
        <f aca="false">IF($AU214="","",INDEX(Codes!$E$2:$E$108,MATCH("B8|"&amp;$AU214,Codes!$A$2:$A$108,0)))</f>
        <v/>
      </c>
      <c r="CA214" s="16" t="str">
        <f aca="false">IF($H214="","",INDEX(Codes!$E$2:$E$108,MATCH("A6|"&amp;$H214,Codes!$A$2:$A$108,0)))</f>
        <v/>
      </c>
      <c r="CB214" s="16" t="str">
        <f aca="false">IF($X214="","",IF($X214="phone",1,0))</f>
        <v/>
      </c>
      <c r="CC214" s="16" t="str">
        <f aca="false">IF($BC214="","",8-$BC214)</f>
        <v/>
      </c>
    </row>
    <row r="215" customFormat="false" ht="15" hidden="false" customHeight="false" outlineLevel="0" collapsed="false">
      <c r="BW215" s="16" t="str">
        <f aca="false">IF($R215="","",INDEX(Codes!$E$2:$E$108,MATCH("B1|"&amp;$R215,Codes!$A$2:$A$108,0)))</f>
        <v/>
      </c>
      <c r="BX215" s="16" t="str">
        <f aca="false">IF($Y215="","",INDEX(Codes!$E$2:$E$108,MATCH("B4|"&amp;$Y215,Codes!$A$2:$A$108,0)))</f>
        <v/>
      </c>
      <c r="BY215" s="16" t="str">
        <f aca="false">IF($I215="","",INDEX(Codes!$E$2:$E$108,MATCH("A7|"&amp;$I215,Codes!$A$2:$A$108,0)))</f>
        <v/>
      </c>
      <c r="BZ215" s="16" t="str">
        <f aca="false">IF($AU215="","",INDEX(Codes!$E$2:$E$108,MATCH("B8|"&amp;$AU215,Codes!$A$2:$A$108,0)))</f>
        <v/>
      </c>
      <c r="CA215" s="16" t="str">
        <f aca="false">IF($H215="","",INDEX(Codes!$E$2:$E$108,MATCH("A6|"&amp;$H215,Codes!$A$2:$A$108,0)))</f>
        <v/>
      </c>
      <c r="CB215" s="16" t="str">
        <f aca="false">IF($X215="","",IF($X215="phone",1,0))</f>
        <v/>
      </c>
      <c r="CC215" s="16" t="str">
        <f aca="false">IF($BC215="","",8-$BC215)</f>
        <v/>
      </c>
    </row>
    <row r="216" customFormat="false" ht="15" hidden="false" customHeight="false" outlineLevel="0" collapsed="false">
      <c r="BW216" s="16" t="str">
        <f aca="false">IF($R216="","",INDEX(Codes!$E$2:$E$108,MATCH("B1|"&amp;$R216,Codes!$A$2:$A$108,0)))</f>
        <v/>
      </c>
      <c r="BX216" s="16" t="str">
        <f aca="false">IF($Y216="","",INDEX(Codes!$E$2:$E$108,MATCH("B4|"&amp;$Y216,Codes!$A$2:$A$108,0)))</f>
        <v/>
      </c>
      <c r="BY216" s="16" t="str">
        <f aca="false">IF($I216="","",INDEX(Codes!$E$2:$E$108,MATCH("A7|"&amp;$I216,Codes!$A$2:$A$108,0)))</f>
        <v/>
      </c>
      <c r="BZ216" s="16" t="str">
        <f aca="false">IF($AU216="","",INDEX(Codes!$E$2:$E$108,MATCH("B8|"&amp;$AU216,Codes!$A$2:$A$108,0)))</f>
        <v/>
      </c>
      <c r="CA216" s="16" t="str">
        <f aca="false">IF($H216="","",INDEX(Codes!$E$2:$E$108,MATCH("A6|"&amp;$H216,Codes!$A$2:$A$108,0)))</f>
        <v/>
      </c>
      <c r="CB216" s="16" t="str">
        <f aca="false">IF($X216="","",IF($X216="phone",1,0))</f>
        <v/>
      </c>
      <c r="CC216" s="16" t="str">
        <f aca="false">IF($BC216="","",8-$BC216)</f>
        <v/>
      </c>
    </row>
    <row r="217" customFormat="false" ht="15" hidden="false" customHeight="false" outlineLevel="0" collapsed="false">
      <c r="BW217" s="16" t="str">
        <f aca="false">IF($R217="","",INDEX(Codes!$E$2:$E$108,MATCH("B1|"&amp;$R217,Codes!$A$2:$A$108,0)))</f>
        <v/>
      </c>
      <c r="BX217" s="16" t="str">
        <f aca="false">IF($Y217="","",INDEX(Codes!$E$2:$E$108,MATCH("B4|"&amp;$Y217,Codes!$A$2:$A$108,0)))</f>
        <v/>
      </c>
      <c r="BY217" s="16" t="str">
        <f aca="false">IF($I217="","",INDEX(Codes!$E$2:$E$108,MATCH("A7|"&amp;$I217,Codes!$A$2:$A$108,0)))</f>
        <v/>
      </c>
      <c r="BZ217" s="16" t="str">
        <f aca="false">IF($AU217="","",INDEX(Codes!$E$2:$E$108,MATCH("B8|"&amp;$AU217,Codes!$A$2:$A$108,0)))</f>
        <v/>
      </c>
      <c r="CA217" s="16" t="str">
        <f aca="false">IF($H217="","",INDEX(Codes!$E$2:$E$108,MATCH("A6|"&amp;$H217,Codes!$A$2:$A$108,0)))</f>
        <v/>
      </c>
      <c r="CB217" s="16" t="str">
        <f aca="false">IF($X217="","",IF($X217="phone",1,0))</f>
        <v/>
      </c>
      <c r="CC217" s="16" t="str">
        <f aca="false">IF($BC217="","",8-$BC217)</f>
        <v/>
      </c>
    </row>
    <row r="218" customFormat="false" ht="15" hidden="false" customHeight="false" outlineLevel="0" collapsed="false">
      <c r="BW218" s="16" t="str">
        <f aca="false">IF($R218="","",INDEX(Codes!$E$2:$E$108,MATCH("B1|"&amp;$R218,Codes!$A$2:$A$108,0)))</f>
        <v/>
      </c>
      <c r="BX218" s="16" t="str">
        <f aca="false">IF($Y218="","",INDEX(Codes!$E$2:$E$108,MATCH("B4|"&amp;$Y218,Codes!$A$2:$A$108,0)))</f>
        <v/>
      </c>
      <c r="BY218" s="16" t="str">
        <f aca="false">IF($I218="","",INDEX(Codes!$E$2:$E$108,MATCH("A7|"&amp;$I218,Codes!$A$2:$A$108,0)))</f>
        <v/>
      </c>
      <c r="BZ218" s="16" t="str">
        <f aca="false">IF($AU218="","",INDEX(Codes!$E$2:$E$108,MATCH("B8|"&amp;$AU218,Codes!$A$2:$A$108,0)))</f>
        <v/>
      </c>
      <c r="CA218" s="16" t="str">
        <f aca="false">IF($H218="","",INDEX(Codes!$E$2:$E$108,MATCH("A6|"&amp;$H218,Codes!$A$2:$A$108,0)))</f>
        <v/>
      </c>
      <c r="CB218" s="16" t="str">
        <f aca="false">IF($X218="","",IF($X218="phone",1,0))</f>
        <v/>
      </c>
      <c r="CC218" s="16" t="str">
        <f aca="false">IF($BC218="","",8-$BC218)</f>
        <v/>
      </c>
    </row>
    <row r="219" customFormat="false" ht="15" hidden="false" customHeight="false" outlineLevel="0" collapsed="false">
      <c r="BW219" s="16" t="str">
        <f aca="false">IF($R219="","",INDEX(Codes!$E$2:$E$108,MATCH("B1|"&amp;$R219,Codes!$A$2:$A$108,0)))</f>
        <v/>
      </c>
      <c r="BX219" s="16" t="str">
        <f aca="false">IF($Y219="","",INDEX(Codes!$E$2:$E$108,MATCH("B4|"&amp;$Y219,Codes!$A$2:$A$108,0)))</f>
        <v/>
      </c>
      <c r="BY219" s="16" t="str">
        <f aca="false">IF($I219="","",INDEX(Codes!$E$2:$E$108,MATCH("A7|"&amp;$I219,Codes!$A$2:$A$108,0)))</f>
        <v/>
      </c>
      <c r="BZ219" s="16" t="str">
        <f aca="false">IF($AU219="","",INDEX(Codes!$E$2:$E$108,MATCH("B8|"&amp;$AU219,Codes!$A$2:$A$108,0)))</f>
        <v/>
      </c>
      <c r="CA219" s="16" t="str">
        <f aca="false">IF($H219="","",INDEX(Codes!$E$2:$E$108,MATCH("A6|"&amp;$H219,Codes!$A$2:$A$108,0)))</f>
        <v/>
      </c>
      <c r="CB219" s="16" t="str">
        <f aca="false">IF($X219="","",IF($X219="phone",1,0))</f>
        <v/>
      </c>
      <c r="CC219" s="16" t="str">
        <f aca="false">IF($BC219="","",8-$BC219)</f>
        <v/>
      </c>
    </row>
    <row r="220" customFormat="false" ht="15" hidden="false" customHeight="false" outlineLevel="0" collapsed="false">
      <c r="BW220" s="16" t="str">
        <f aca="false">IF($R220="","",INDEX(Codes!$E$2:$E$108,MATCH("B1|"&amp;$R220,Codes!$A$2:$A$108,0)))</f>
        <v/>
      </c>
      <c r="BX220" s="16" t="str">
        <f aca="false">IF($Y220="","",INDEX(Codes!$E$2:$E$108,MATCH("B4|"&amp;$Y220,Codes!$A$2:$A$108,0)))</f>
        <v/>
      </c>
      <c r="BY220" s="16" t="str">
        <f aca="false">IF($I220="","",INDEX(Codes!$E$2:$E$108,MATCH("A7|"&amp;$I220,Codes!$A$2:$A$108,0)))</f>
        <v/>
      </c>
      <c r="BZ220" s="16" t="str">
        <f aca="false">IF($AU220="","",INDEX(Codes!$E$2:$E$108,MATCH("B8|"&amp;$AU220,Codes!$A$2:$A$108,0)))</f>
        <v/>
      </c>
      <c r="CA220" s="16" t="str">
        <f aca="false">IF($H220="","",INDEX(Codes!$E$2:$E$108,MATCH("A6|"&amp;$H220,Codes!$A$2:$A$108,0)))</f>
        <v/>
      </c>
      <c r="CB220" s="16" t="str">
        <f aca="false">IF($X220="","",IF($X220="phone",1,0))</f>
        <v/>
      </c>
      <c r="CC220" s="16" t="str">
        <f aca="false">IF($BC220="","",8-$BC220)</f>
        <v/>
      </c>
    </row>
    <row r="221" customFormat="false" ht="15" hidden="false" customHeight="false" outlineLevel="0" collapsed="false">
      <c r="BW221" s="16" t="str">
        <f aca="false">IF($R221="","",INDEX(Codes!$E$2:$E$108,MATCH("B1|"&amp;$R221,Codes!$A$2:$A$108,0)))</f>
        <v/>
      </c>
      <c r="BX221" s="16" t="str">
        <f aca="false">IF($Y221="","",INDEX(Codes!$E$2:$E$108,MATCH("B4|"&amp;$Y221,Codes!$A$2:$A$108,0)))</f>
        <v/>
      </c>
      <c r="BY221" s="16" t="str">
        <f aca="false">IF($I221="","",INDEX(Codes!$E$2:$E$108,MATCH("A7|"&amp;$I221,Codes!$A$2:$A$108,0)))</f>
        <v/>
      </c>
      <c r="BZ221" s="16" t="str">
        <f aca="false">IF($AU221="","",INDEX(Codes!$E$2:$E$108,MATCH("B8|"&amp;$AU221,Codes!$A$2:$A$108,0)))</f>
        <v/>
      </c>
      <c r="CA221" s="16" t="str">
        <f aca="false">IF($H221="","",INDEX(Codes!$E$2:$E$108,MATCH("A6|"&amp;$H221,Codes!$A$2:$A$108,0)))</f>
        <v/>
      </c>
      <c r="CB221" s="16" t="str">
        <f aca="false">IF($X221="","",IF($X221="phone",1,0))</f>
        <v/>
      </c>
      <c r="CC221" s="16" t="str">
        <f aca="false">IF($BC221="","",8-$BC221)</f>
        <v/>
      </c>
    </row>
    <row r="222" customFormat="false" ht="15" hidden="false" customHeight="false" outlineLevel="0" collapsed="false">
      <c r="BW222" s="16" t="str">
        <f aca="false">IF($R222="","",INDEX(Codes!$E$2:$E$108,MATCH("B1|"&amp;$R222,Codes!$A$2:$A$108,0)))</f>
        <v/>
      </c>
      <c r="BX222" s="16" t="str">
        <f aca="false">IF($Y222="","",INDEX(Codes!$E$2:$E$108,MATCH("B4|"&amp;$Y222,Codes!$A$2:$A$108,0)))</f>
        <v/>
      </c>
      <c r="BY222" s="16" t="str">
        <f aca="false">IF($I222="","",INDEX(Codes!$E$2:$E$108,MATCH("A7|"&amp;$I222,Codes!$A$2:$A$108,0)))</f>
        <v/>
      </c>
      <c r="BZ222" s="16" t="str">
        <f aca="false">IF($AU222="","",INDEX(Codes!$E$2:$E$108,MATCH("B8|"&amp;$AU222,Codes!$A$2:$A$108,0)))</f>
        <v/>
      </c>
      <c r="CA222" s="16" t="str">
        <f aca="false">IF($H222="","",INDEX(Codes!$E$2:$E$108,MATCH("A6|"&amp;$H222,Codes!$A$2:$A$108,0)))</f>
        <v/>
      </c>
      <c r="CB222" s="16" t="str">
        <f aca="false">IF($X222="","",IF($X222="phone",1,0))</f>
        <v/>
      </c>
      <c r="CC222" s="16" t="str">
        <f aca="false">IF($BC222="","",8-$BC222)</f>
        <v/>
      </c>
    </row>
    <row r="223" customFormat="false" ht="15" hidden="false" customHeight="false" outlineLevel="0" collapsed="false">
      <c r="BW223" s="16" t="str">
        <f aca="false">IF($R223="","",INDEX(Codes!$E$2:$E$108,MATCH("B1|"&amp;$R223,Codes!$A$2:$A$108,0)))</f>
        <v/>
      </c>
      <c r="BX223" s="16" t="str">
        <f aca="false">IF($Y223="","",INDEX(Codes!$E$2:$E$108,MATCH("B4|"&amp;$Y223,Codes!$A$2:$A$108,0)))</f>
        <v/>
      </c>
      <c r="BY223" s="16" t="str">
        <f aca="false">IF($I223="","",INDEX(Codes!$E$2:$E$108,MATCH("A7|"&amp;$I223,Codes!$A$2:$A$108,0)))</f>
        <v/>
      </c>
      <c r="BZ223" s="16" t="str">
        <f aca="false">IF($AU223="","",INDEX(Codes!$E$2:$E$108,MATCH("B8|"&amp;$AU223,Codes!$A$2:$A$108,0)))</f>
        <v/>
      </c>
      <c r="CA223" s="16" t="str">
        <f aca="false">IF($H223="","",INDEX(Codes!$E$2:$E$108,MATCH("A6|"&amp;$H223,Codes!$A$2:$A$108,0)))</f>
        <v/>
      </c>
      <c r="CB223" s="16" t="str">
        <f aca="false">IF($X223="","",IF($X223="phone",1,0))</f>
        <v/>
      </c>
      <c r="CC223" s="16" t="str">
        <f aca="false">IF($BC223="","",8-$BC223)</f>
        <v/>
      </c>
    </row>
    <row r="224" customFormat="false" ht="15" hidden="false" customHeight="false" outlineLevel="0" collapsed="false">
      <c r="BW224" s="16" t="str">
        <f aca="false">IF($R224="","",INDEX(Codes!$E$2:$E$108,MATCH("B1|"&amp;$R224,Codes!$A$2:$A$108,0)))</f>
        <v/>
      </c>
      <c r="BX224" s="16" t="str">
        <f aca="false">IF($Y224="","",INDEX(Codes!$E$2:$E$108,MATCH("B4|"&amp;$Y224,Codes!$A$2:$A$108,0)))</f>
        <v/>
      </c>
      <c r="BY224" s="16" t="str">
        <f aca="false">IF($I224="","",INDEX(Codes!$E$2:$E$108,MATCH("A7|"&amp;$I224,Codes!$A$2:$A$108,0)))</f>
        <v/>
      </c>
      <c r="BZ224" s="16" t="str">
        <f aca="false">IF($AU224="","",INDEX(Codes!$E$2:$E$108,MATCH("B8|"&amp;$AU224,Codes!$A$2:$A$108,0)))</f>
        <v/>
      </c>
      <c r="CA224" s="16" t="str">
        <f aca="false">IF($H224="","",INDEX(Codes!$E$2:$E$108,MATCH("A6|"&amp;$H224,Codes!$A$2:$A$108,0)))</f>
        <v/>
      </c>
      <c r="CB224" s="16" t="str">
        <f aca="false">IF($X224="","",IF($X224="phone",1,0))</f>
        <v/>
      </c>
      <c r="CC224" s="16" t="str">
        <f aca="false">IF($BC224="","",8-$BC224)</f>
        <v/>
      </c>
    </row>
    <row r="225" customFormat="false" ht="15" hidden="false" customHeight="false" outlineLevel="0" collapsed="false">
      <c r="BW225" s="16" t="str">
        <f aca="false">IF($R225="","",INDEX(Codes!$E$2:$E$108,MATCH("B1|"&amp;$R225,Codes!$A$2:$A$108,0)))</f>
        <v/>
      </c>
      <c r="BX225" s="16" t="str">
        <f aca="false">IF($Y225="","",INDEX(Codes!$E$2:$E$108,MATCH("B4|"&amp;$Y225,Codes!$A$2:$A$108,0)))</f>
        <v/>
      </c>
      <c r="BY225" s="16" t="str">
        <f aca="false">IF($I225="","",INDEX(Codes!$E$2:$E$108,MATCH("A7|"&amp;$I225,Codes!$A$2:$A$108,0)))</f>
        <v/>
      </c>
      <c r="BZ225" s="16" t="str">
        <f aca="false">IF($AU225="","",INDEX(Codes!$E$2:$E$108,MATCH("B8|"&amp;$AU225,Codes!$A$2:$A$108,0)))</f>
        <v/>
      </c>
      <c r="CA225" s="16" t="str">
        <f aca="false">IF($H225="","",INDEX(Codes!$E$2:$E$108,MATCH("A6|"&amp;$H225,Codes!$A$2:$A$108,0)))</f>
        <v/>
      </c>
      <c r="CB225" s="16" t="str">
        <f aca="false">IF($X225="","",IF($X225="phone",1,0))</f>
        <v/>
      </c>
      <c r="CC225" s="16" t="str">
        <f aca="false">IF($BC225="","",8-$BC225)</f>
        <v/>
      </c>
    </row>
    <row r="226" customFormat="false" ht="15" hidden="false" customHeight="false" outlineLevel="0" collapsed="false">
      <c r="BW226" s="16" t="str">
        <f aca="false">IF($R226="","",INDEX(Codes!$E$2:$E$108,MATCH("B1|"&amp;$R226,Codes!$A$2:$A$108,0)))</f>
        <v/>
      </c>
      <c r="BX226" s="16" t="str">
        <f aca="false">IF($Y226="","",INDEX(Codes!$E$2:$E$108,MATCH("B4|"&amp;$Y226,Codes!$A$2:$A$108,0)))</f>
        <v/>
      </c>
      <c r="BY226" s="16" t="str">
        <f aca="false">IF($I226="","",INDEX(Codes!$E$2:$E$108,MATCH("A7|"&amp;$I226,Codes!$A$2:$A$108,0)))</f>
        <v/>
      </c>
      <c r="BZ226" s="16" t="str">
        <f aca="false">IF($AU226="","",INDEX(Codes!$E$2:$E$108,MATCH("B8|"&amp;$AU226,Codes!$A$2:$A$108,0)))</f>
        <v/>
      </c>
      <c r="CA226" s="16" t="str">
        <f aca="false">IF($H226="","",INDEX(Codes!$E$2:$E$108,MATCH("A6|"&amp;$H226,Codes!$A$2:$A$108,0)))</f>
        <v/>
      </c>
      <c r="CB226" s="16" t="str">
        <f aca="false">IF($X226="","",IF($X226="phone",1,0))</f>
        <v/>
      </c>
      <c r="CC226" s="16" t="str">
        <f aca="false">IF($BC226="","",8-$BC226)</f>
        <v/>
      </c>
    </row>
    <row r="227" customFormat="false" ht="15" hidden="false" customHeight="false" outlineLevel="0" collapsed="false">
      <c r="BW227" s="16" t="str">
        <f aca="false">IF($R227="","",INDEX(Codes!$E$2:$E$108,MATCH("B1|"&amp;$R227,Codes!$A$2:$A$108,0)))</f>
        <v/>
      </c>
      <c r="BX227" s="16" t="str">
        <f aca="false">IF($Y227="","",INDEX(Codes!$E$2:$E$108,MATCH("B4|"&amp;$Y227,Codes!$A$2:$A$108,0)))</f>
        <v/>
      </c>
      <c r="BY227" s="16" t="str">
        <f aca="false">IF($I227="","",INDEX(Codes!$E$2:$E$108,MATCH("A7|"&amp;$I227,Codes!$A$2:$A$108,0)))</f>
        <v/>
      </c>
      <c r="BZ227" s="16" t="str">
        <f aca="false">IF($AU227="","",INDEX(Codes!$E$2:$E$108,MATCH("B8|"&amp;$AU227,Codes!$A$2:$A$108,0)))</f>
        <v/>
      </c>
      <c r="CA227" s="16" t="str">
        <f aca="false">IF($H227="","",INDEX(Codes!$E$2:$E$108,MATCH("A6|"&amp;$H227,Codes!$A$2:$A$108,0)))</f>
        <v/>
      </c>
      <c r="CB227" s="16" t="str">
        <f aca="false">IF($X227="","",IF($X227="phone",1,0))</f>
        <v/>
      </c>
      <c r="CC227" s="16" t="str">
        <f aca="false">IF($BC227="","",8-$BC227)</f>
        <v/>
      </c>
    </row>
    <row r="228" customFormat="false" ht="15" hidden="false" customHeight="false" outlineLevel="0" collapsed="false">
      <c r="BW228" s="16" t="str">
        <f aca="false">IF($R228="","",INDEX(Codes!$E$2:$E$108,MATCH("B1|"&amp;$R228,Codes!$A$2:$A$108,0)))</f>
        <v/>
      </c>
      <c r="BX228" s="16" t="str">
        <f aca="false">IF($Y228="","",INDEX(Codes!$E$2:$E$108,MATCH("B4|"&amp;$Y228,Codes!$A$2:$A$108,0)))</f>
        <v/>
      </c>
      <c r="BY228" s="16" t="str">
        <f aca="false">IF($I228="","",INDEX(Codes!$E$2:$E$108,MATCH("A7|"&amp;$I228,Codes!$A$2:$A$108,0)))</f>
        <v/>
      </c>
      <c r="BZ228" s="16" t="str">
        <f aca="false">IF($AU228="","",INDEX(Codes!$E$2:$E$108,MATCH("B8|"&amp;$AU228,Codes!$A$2:$A$108,0)))</f>
        <v/>
      </c>
      <c r="CA228" s="16" t="str">
        <f aca="false">IF($H228="","",INDEX(Codes!$E$2:$E$108,MATCH("A6|"&amp;$H228,Codes!$A$2:$A$108,0)))</f>
        <v/>
      </c>
      <c r="CB228" s="16" t="str">
        <f aca="false">IF($X228="","",IF($X228="phone",1,0))</f>
        <v/>
      </c>
      <c r="CC228" s="16" t="str">
        <f aca="false">IF($BC228="","",8-$BC228)</f>
        <v/>
      </c>
    </row>
    <row r="229" customFormat="false" ht="15" hidden="false" customHeight="false" outlineLevel="0" collapsed="false">
      <c r="BW229" s="16" t="str">
        <f aca="false">IF($R229="","",INDEX(Codes!$E$2:$E$108,MATCH("B1|"&amp;$R229,Codes!$A$2:$A$108,0)))</f>
        <v/>
      </c>
      <c r="BX229" s="16" t="str">
        <f aca="false">IF($Y229="","",INDEX(Codes!$E$2:$E$108,MATCH("B4|"&amp;$Y229,Codes!$A$2:$A$108,0)))</f>
        <v/>
      </c>
      <c r="BY229" s="16" t="str">
        <f aca="false">IF($I229="","",INDEX(Codes!$E$2:$E$108,MATCH("A7|"&amp;$I229,Codes!$A$2:$A$108,0)))</f>
        <v/>
      </c>
      <c r="BZ229" s="16" t="str">
        <f aca="false">IF($AU229="","",INDEX(Codes!$E$2:$E$108,MATCH("B8|"&amp;$AU229,Codes!$A$2:$A$108,0)))</f>
        <v/>
      </c>
      <c r="CA229" s="16" t="str">
        <f aca="false">IF($H229="","",INDEX(Codes!$E$2:$E$108,MATCH("A6|"&amp;$H229,Codes!$A$2:$A$108,0)))</f>
        <v/>
      </c>
      <c r="CB229" s="16" t="str">
        <f aca="false">IF($X229="","",IF($X229="phone",1,0))</f>
        <v/>
      </c>
      <c r="CC229" s="16" t="str">
        <f aca="false">IF($BC229="","",8-$BC229)</f>
        <v/>
      </c>
    </row>
    <row r="230" customFormat="false" ht="15" hidden="false" customHeight="false" outlineLevel="0" collapsed="false">
      <c r="BW230" s="16" t="str">
        <f aca="false">IF($R230="","",INDEX(Codes!$E$2:$E$108,MATCH("B1|"&amp;$R230,Codes!$A$2:$A$108,0)))</f>
        <v/>
      </c>
      <c r="BX230" s="16" t="str">
        <f aca="false">IF($Y230="","",INDEX(Codes!$E$2:$E$108,MATCH("B4|"&amp;$Y230,Codes!$A$2:$A$108,0)))</f>
        <v/>
      </c>
      <c r="BY230" s="16" t="str">
        <f aca="false">IF($I230="","",INDEX(Codes!$E$2:$E$108,MATCH("A7|"&amp;$I230,Codes!$A$2:$A$108,0)))</f>
        <v/>
      </c>
      <c r="BZ230" s="16" t="str">
        <f aca="false">IF($AU230="","",INDEX(Codes!$E$2:$E$108,MATCH("B8|"&amp;$AU230,Codes!$A$2:$A$108,0)))</f>
        <v/>
      </c>
      <c r="CA230" s="16" t="str">
        <f aca="false">IF($H230="","",INDEX(Codes!$E$2:$E$108,MATCH("A6|"&amp;$H230,Codes!$A$2:$A$108,0)))</f>
        <v/>
      </c>
      <c r="CB230" s="16" t="str">
        <f aca="false">IF($X230="","",IF($X230="phone",1,0))</f>
        <v/>
      </c>
      <c r="CC230" s="16" t="str">
        <f aca="false">IF($BC230="","",8-$BC230)</f>
        <v/>
      </c>
    </row>
    <row r="231" customFormat="false" ht="15" hidden="false" customHeight="false" outlineLevel="0" collapsed="false">
      <c r="BW231" s="16" t="str">
        <f aca="false">IF($R231="","",INDEX(Codes!$E$2:$E$108,MATCH("B1|"&amp;$R231,Codes!$A$2:$A$108,0)))</f>
        <v/>
      </c>
      <c r="BX231" s="16" t="str">
        <f aca="false">IF($Y231="","",INDEX(Codes!$E$2:$E$108,MATCH("B4|"&amp;$Y231,Codes!$A$2:$A$108,0)))</f>
        <v/>
      </c>
      <c r="BY231" s="16" t="str">
        <f aca="false">IF($I231="","",INDEX(Codes!$E$2:$E$108,MATCH("A7|"&amp;$I231,Codes!$A$2:$A$108,0)))</f>
        <v/>
      </c>
      <c r="BZ231" s="16" t="str">
        <f aca="false">IF($AU231="","",INDEX(Codes!$E$2:$E$108,MATCH("B8|"&amp;$AU231,Codes!$A$2:$A$108,0)))</f>
        <v/>
      </c>
      <c r="CA231" s="16" t="str">
        <f aca="false">IF($H231="","",INDEX(Codes!$E$2:$E$108,MATCH("A6|"&amp;$H231,Codes!$A$2:$A$108,0)))</f>
        <v/>
      </c>
      <c r="CB231" s="16" t="str">
        <f aca="false">IF($X231="","",IF($X231="phone",1,0))</f>
        <v/>
      </c>
      <c r="CC231" s="16" t="str">
        <f aca="false">IF($BC231="","",8-$BC231)</f>
        <v/>
      </c>
    </row>
    <row r="232" customFormat="false" ht="15" hidden="false" customHeight="false" outlineLevel="0" collapsed="false">
      <c r="BW232" s="16" t="str">
        <f aca="false">IF($R232="","",INDEX(Codes!$E$2:$E$108,MATCH("B1|"&amp;$R232,Codes!$A$2:$A$108,0)))</f>
        <v/>
      </c>
      <c r="BX232" s="16" t="str">
        <f aca="false">IF($Y232="","",INDEX(Codes!$E$2:$E$108,MATCH("B4|"&amp;$Y232,Codes!$A$2:$A$108,0)))</f>
        <v/>
      </c>
      <c r="BY232" s="16" t="str">
        <f aca="false">IF($I232="","",INDEX(Codes!$E$2:$E$108,MATCH("A7|"&amp;$I232,Codes!$A$2:$A$108,0)))</f>
        <v/>
      </c>
      <c r="BZ232" s="16" t="str">
        <f aca="false">IF($AU232="","",INDEX(Codes!$E$2:$E$108,MATCH("B8|"&amp;$AU232,Codes!$A$2:$A$108,0)))</f>
        <v/>
      </c>
      <c r="CA232" s="16" t="str">
        <f aca="false">IF($H232="","",INDEX(Codes!$E$2:$E$108,MATCH("A6|"&amp;$H232,Codes!$A$2:$A$108,0)))</f>
        <v/>
      </c>
      <c r="CB232" s="16" t="str">
        <f aca="false">IF($X232="","",IF($X232="phone",1,0))</f>
        <v/>
      </c>
      <c r="CC232" s="16" t="str">
        <f aca="false">IF($BC232="","",8-$BC232)</f>
        <v/>
      </c>
    </row>
    <row r="233" customFormat="false" ht="15" hidden="false" customHeight="false" outlineLevel="0" collapsed="false">
      <c r="BW233" s="16" t="str">
        <f aca="false">IF($R233="","",INDEX(Codes!$E$2:$E$108,MATCH("B1|"&amp;$R233,Codes!$A$2:$A$108,0)))</f>
        <v/>
      </c>
      <c r="BX233" s="16" t="str">
        <f aca="false">IF($Y233="","",INDEX(Codes!$E$2:$E$108,MATCH("B4|"&amp;$Y233,Codes!$A$2:$A$108,0)))</f>
        <v/>
      </c>
      <c r="BY233" s="16" t="str">
        <f aca="false">IF($I233="","",INDEX(Codes!$E$2:$E$108,MATCH("A7|"&amp;$I233,Codes!$A$2:$A$108,0)))</f>
        <v/>
      </c>
      <c r="BZ233" s="16" t="str">
        <f aca="false">IF($AU233="","",INDEX(Codes!$E$2:$E$108,MATCH("B8|"&amp;$AU233,Codes!$A$2:$A$108,0)))</f>
        <v/>
      </c>
      <c r="CA233" s="16" t="str">
        <f aca="false">IF($H233="","",INDEX(Codes!$E$2:$E$108,MATCH("A6|"&amp;$H233,Codes!$A$2:$A$108,0)))</f>
        <v/>
      </c>
      <c r="CB233" s="16" t="str">
        <f aca="false">IF($X233="","",IF($X233="phone",1,0))</f>
        <v/>
      </c>
      <c r="CC233" s="16" t="str">
        <f aca="false">IF($BC233="","",8-$BC233)</f>
        <v/>
      </c>
    </row>
    <row r="234" customFormat="false" ht="15" hidden="false" customHeight="false" outlineLevel="0" collapsed="false">
      <c r="BW234" s="16" t="str">
        <f aca="false">IF($R234="","",INDEX(Codes!$E$2:$E$108,MATCH("B1|"&amp;$R234,Codes!$A$2:$A$108,0)))</f>
        <v/>
      </c>
      <c r="BX234" s="16" t="str">
        <f aca="false">IF($Y234="","",INDEX(Codes!$E$2:$E$108,MATCH("B4|"&amp;$Y234,Codes!$A$2:$A$108,0)))</f>
        <v/>
      </c>
      <c r="BY234" s="16" t="str">
        <f aca="false">IF($I234="","",INDEX(Codes!$E$2:$E$108,MATCH("A7|"&amp;$I234,Codes!$A$2:$A$108,0)))</f>
        <v/>
      </c>
      <c r="BZ234" s="16" t="str">
        <f aca="false">IF($AU234="","",INDEX(Codes!$E$2:$E$108,MATCH("B8|"&amp;$AU234,Codes!$A$2:$A$108,0)))</f>
        <v/>
      </c>
      <c r="CA234" s="16" t="str">
        <f aca="false">IF($H234="","",INDEX(Codes!$E$2:$E$108,MATCH("A6|"&amp;$H234,Codes!$A$2:$A$108,0)))</f>
        <v/>
      </c>
      <c r="CB234" s="16" t="str">
        <f aca="false">IF($X234="","",IF($X234="phone",1,0))</f>
        <v/>
      </c>
      <c r="CC234" s="16" t="str">
        <f aca="false">IF($BC234="","",8-$BC234)</f>
        <v/>
      </c>
    </row>
    <row r="235" customFormat="false" ht="15" hidden="false" customHeight="false" outlineLevel="0" collapsed="false">
      <c r="BW235" s="16" t="str">
        <f aca="false">IF($R235="","",INDEX(Codes!$E$2:$E$108,MATCH("B1|"&amp;$R235,Codes!$A$2:$A$108,0)))</f>
        <v/>
      </c>
      <c r="BX235" s="16" t="str">
        <f aca="false">IF($Y235="","",INDEX(Codes!$E$2:$E$108,MATCH("B4|"&amp;$Y235,Codes!$A$2:$A$108,0)))</f>
        <v/>
      </c>
      <c r="BY235" s="16" t="str">
        <f aca="false">IF($I235="","",INDEX(Codes!$E$2:$E$108,MATCH("A7|"&amp;$I235,Codes!$A$2:$A$108,0)))</f>
        <v/>
      </c>
      <c r="BZ235" s="16" t="str">
        <f aca="false">IF($AU235="","",INDEX(Codes!$E$2:$E$108,MATCH("B8|"&amp;$AU235,Codes!$A$2:$A$108,0)))</f>
        <v/>
      </c>
      <c r="CA235" s="16" t="str">
        <f aca="false">IF($H235="","",INDEX(Codes!$E$2:$E$108,MATCH("A6|"&amp;$H235,Codes!$A$2:$A$108,0)))</f>
        <v/>
      </c>
      <c r="CB235" s="16" t="str">
        <f aca="false">IF($X235="","",IF($X235="phone",1,0))</f>
        <v/>
      </c>
      <c r="CC235" s="16" t="str">
        <f aca="false">IF($BC235="","",8-$BC235)</f>
        <v/>
      </c>
    </row>
    <row r="236" customFormat="false" ht="15" hidden="false" customHeight="false" outlineLevel="0" collapsed="false">
      <c r="BW236" s="16" t="str">
        <f aca="false">IF($R236="","",INDEX(Codes!$E$2:$E$108,MATCH("B1|"&amp;$R236,Codes!$A$2:$A$108,0)))</f>
        <v/>
      </c>
      <c r="BX236" s="16" t="str">
        <f aca="false">IF($Y236="","",INDEX(Codes!$E$2:$E$108,MATCH("B4|"&amp;$Y236,Codes!$A$2:$A$108,0)))</f>
        <v/>
      </c>
      <c r="BY236" s="16" t="str">
        <f aca="false">IF($I236="","",INDEX(Codes!$E$2:$E$108,MATCH("A7|"&amp;$I236,Codes!$A$2:$A$108,0)))</f>
        <v/>
      </c>
      <c r="BZ236" s="16" t="str">
        <f aca="false">IF($AU236="","",INDEX(Codes!$E$2:$E$108,MATCH("B8|"&amp;$AU236,Codes!$A$2:$A$108,0)))</f>
        <v/>
      </c>
      <c r="CA236" s="16" t="str">
        <f aca="false">IF($H236="","",INDEX(Codes!$E$2:$E$108,MATCH("A6|"&amp;$H236,Codes!$A$2:$A$108,0)))</f>
        <v/>
      </c>
      <c r="CB236" s="16" t="str">
        <f aca="false">IF($X236="","",IF($X236="phone",1,0))</f>
        <v/>
      </c>
      <c r="CC236" s="16" t="str">
        <f aca="false">IF($BC236="","",8-$BC236)</f>
        <v/>
      </c>
    </row>
    <row r="237" customFormat="false" ht="15" hidden="false" customHeight="false" outlineLevel="0" collapsed="false">
      <c r="BW237" s="16" t="str">
        <f aca="false">IF($R237="","",INDEX(Codes!$E$2:$E$108,MATCH("B1|"&amp;$R237,Codes!$A$2:$A$108,0)))</f>
        <v/>
      </c>
      <c r="BX237" s="16" t="str">
        <f aca="false">IF($Y237="","",INDEX(Codes!$E$2:$E$108,MATCH("B4|"&amp;$Y237,Codes!$A$2:$A$108,0)))</f>
        <v/>
      </c>
      <c r="BY237" s="16" t="str">
        <f aca="false">IF($I237="","",INDEX(Codes!$E$2:$E$108,MATCH("A7|"&amp;$I237,Codes!$A$2:$A$108,0)))</f>
        <v/>
      </c>
      <c r="BZ237" s="16" t="str">
        <f aca="false">IF($AU237="","",INDEX(Codes!$E$2:$E$108,MATCH("B8|"&amp;$AU237,Codes!$A$2:$A$108,0)))</f>
        <v/>
      </c>
      <c r="CA237" s="16" t="str">
        <f aca="false">IF($H237="","",INDEX(Codes!$E$2:$E$108,MATCH("A6|"&amp;$H237,Codes!$A$2:$A$108,0)))</f>
        <v/>
      </c>
      <c r="CB237" s="16" t="str">
        <f aca="false">IF($X237="","",IF($X237="phone",1,0))</f>
        <v/>
      </c>
      <c r="CC237" s="16" t="str">
        <f aca="false">IF($BC237="","",8-$BC237)</f>
        <v/>
      </c>
    </row>
    <row r="238" customFormat="false" ht="15" hidden="false" customHeight="false" outlineLevel="0" collapsed="false">
      <c r="BW238" s="16" t="str">
        <f aca="false">IF($R238="","",INDEX(Codes!$E$2:$E$108,MATCH("B1|"&amp;$R238,Codes!$A$2:$A$108,0)))</f>
        <v/>
      </c>
      <c r="BX238" s="16" t="str">
        <f aca="false">IF($Y238="","",INDEX(Codes!$E$2:$E$108,MATCH("B4|"&amp;$Y238,Codes!$A$2:$A$108,0)))</f>
        <v/>
      </c>
      <c r="BY238" s="16" t="str">
        <f aca="false">IF($I238="","",INDEX(Codes!$E$2:$E$108,MATCH("A7|"&amp;$I238,Codes!$A$2:$A$108,0)))</f>
        <v/>
      </c>
      <c r="BZ238" s="16" t="str">
        <f aca="false">IF($AU238="","",INDEX(Codes!$E$2:$E$108,MATCH("B8|"&amp;$AU238,Codes!$A$2:$A$108,0)))</f>
        <v/>
      </c>
      <c r="CA238" s="16" t="str">
        <f aca="false">IF($H238="","",INDEX(Codes!$E$2:$E$108,MATCH("A6|"&amp;$H238,Codes!$A$2:$A$108,0)))</f>
        <v/>
      </c>
      <c r="CB238" s="16" t="str">
        <f aca="false">IF($X238="","",IF($X238="phone",1,0))</f>
        <v/>
      </c>
      <c r="CC238" s="16" t="str">
        <f aca="false">IF($BC238="","",8-$BC238)</f>
        <v/>
      </c>
    </row>
    <row r="239" customFormat="false" ht="15" hidden="false" customHeight="false" outlineLevel="0" collapsed="false">
      <c r="BW239" s="16" t="str">
        <f aca="false">IF($R239="","",INDEX(Codes!$E$2:$E$108,MATCH("B1|"&amp;$R239,Codes!$A$2:$A$108,0)))</f>
        <v/>
      </c>
      <c r="BX239" s="16" t="str">
        <f aca="false">IF($Y239="","",INDEX(Codes!$E$2:$E$108,MATCH("B4|"&amp;$Y239,Codes!$A$2:$A$108,0)))</f>
        <v/>
      </c>
      <c r="BY239" s="16" t="str">
        <f aca="false">IF($I239="","",INDEX(Codes!$E$2:$E$108,MATCH("A7|"&amp;$I239,Codes!$A$2:$A$108,0)))</f>
        <v/>
      </c>
      <c r="BZ239" s="16" t="str">
        <f aca="false">IF($AU239="","",INDEX(Codes!$E$2:$E$108,MATCH("B8|"&amp;$AU239,Codes!$A$2:$A$108,0)))</f>
        <v/>
      </c>
      <c r="CA239" s="16" t="str">
        <f aca="false">IF($H239="","",INDEX(Codes!$E$2:$E$108,MATCH("A6|"&amp;$H239,Codes!$A$2:$A$108,0)))</f>
        <v/>
      </c>
      <c r="CB239" s="16" t="str">
        <f aca="false">IF($X239="","",IF($X239="phone",1,0))</f>
        <v/>
      </c>
      <c r="CC239" s="16" t="str">
        <f aca="false">IF($BC239="","",8-$BC239)</f>
        <v/>
      </c>
    </row>
    <row r="240" customFormat="false" ht="15" hidden="false" customHeight="false" outlineLevel="0" collapsed="false">
      <c r="BW240" s="16" t="str">
        <f aca="false">IF($R240="","",INDEX(Codes!$E$2:$E$108,MATCH("B1|"&amp;$R240,Codes!$A$2:$A$108,0)))</f>
        <v/>
      </c>
      <c r="BX240" s="16" t="str">
        <f aca="false">IF($Y240="","",INDEX(Codes!$E$2:$E$108,MATCH("B4|"&amp;$Y240,Codes!$A$2:$A$108,0)))</f>
        <v/>
      </c>
      <c r="BY240" s="16" t="str">
        <f aca="false">IF($I240="","",INDEX(Codes!$E$2:$E$108,MATCH("A7|"&amp;$I240,Codes!$A$2:$A$108,0)))</f>
        <v/>
      </c>
      <c r="BZ240" s="16" t="str">
        <f aca="false">IF($AU240="","",INDEX(Codes!$E$2:$E$108,MATCH("B8|"&amp;$AU240,Codes!$A$2:$A$108,0)))</f>
        <v/>
      </c>
      <c r="CA240" s="16" t="str">
        <f aca="false">IF($H240="","",INDEX(Codes!$E$2:$E$108,MATCH("A6|"&amp;$H240,Codes!$A$2:$A$108,0)))</f>
        <v/>
      </c>
      <c r="CB240" s="16" t="str">
        <f aca="false">IF($X240="","",IF($X240="phone",1,0))</f>
        <v/>
      </c>
      <c r="CC240" s="16" t="str">
        <f aca="false">IF($BC240="","",8-$BC240)</f>
        <v/>
      </c>
    </row>
    <row r="241" customFormat="false" ht="15" hidden="false" customHeight="false" outlineLevel="0" collapsed="false">
      <c r="BW241" s="16" t="str">
        <f aca="false">IF($R241="","",INDEX(Codes!$E$2:$E$108,MATCH("B1|"&amp;$R241,Codes!$A$2:$A$108,0)))</f>
        <v/>
      </c>
      <c r="BX241" s="16" t="str">
        <f aca="false">IF($Y241="","",INDEX(Codes!$E$2:$E$108,MATCH("B4|"&amp;$Y241,Codes!$A$2:$A$108,0)))</f>
        <v/>
      </c>
      <c r="BY241" s="16" t="str">
        <f aca="false">IF($I241="","",INDEX(Codes!$E$2:$E$108,MATCH("A7|"&amp;$I241,Codes!$A$2:$A$108,0)))</f>
        <v/>
      </c>
      <c r="BZ241" s="16" t="str">
        <f aca="false">IF($AU241="","",INDEX(Codes!$E$2:$E$108,MATCH("B8|"&amp;$AU241,Codes!$A$2:$A$108,0)))</f>
        <v/>
      </c>
      <c r="CA241" s="16" t="str">
        <f aca="false">IF($H241="","",INDEX(Codes!$E$2:$E$108,MATCH("A6|"&amp;$H241,Codes!$A$2:$A$108,0)))</f>
        <v/>
      </c>
      <c r="CB241" s="16" t="str">
        <f aca="false">IF($X241="","",IF($X241="phone",1,0))</f>
        <v/>
      </c>
      <c r="CC241" s="16" t="str">
        <f aca="false">IF($BC241="","",8-$BC241)</f>
        <v/>
      </c>
    </row>
    <row r="242" customFormat="false" ht="15" hidden="false" customHeight="false" outlineLevel="0" collapsed="false">
      <c r="BW242" s="16" t="str">
        <f aca="false">IF($R242="","",INDEX(Codes!$E$2:$E$108,MATCH("B1|"&amp;$R242,Codes!$A$2:$A$108,0)))</f>
        <v/>
      </c>
      <c r="BX242" s="16" t="str">
        <f aca="false">IF($Y242="","",INDEX(Codes!$E$2:$E$108,MATCH("B4|"&amp;$Y242,Codes!$A$2:$A$108,0)))</f>
        <v/>
      </c>
      <c r="BY242" s="16" t="str">
        <f aca="false">IF($I242="","",INDEX(Codes!$E$2:$E$108,MATCH("A7|"&amp;$I242,Codes!$A$2:$A$108,0)))</f>
        <v/>
      </c>
      <c r="BZ242" s="16" t="str">
        <f aca="false">IF($AU242="","",INDEX(Codes!$E$2:$E$108,MATCH("B8|"&amp;$AU242,Codes!$A$2:$A$108,0)))</f>
        <v/>
      </c>
      <c r="CA242" s="16" t="str">
        <f aca="false">IF($H242="","",INDEX(Codes!$E$2:$E$108,MATCH("A6|"&amp;$H242,Codes!$A$2:$A$108,0)))</f>
        <v/>
      </c>
      <c r="CB242" s="16" t="str">
        <f aca="false">IF($X242="","",IF($X242="phone",1,0))</f>
        <v/>
      </c>
      <c r="CC242" s="16" t="str">
        <f aca="false">IF($BC242="","",8-$BC242)</f>
        <v/>
      </c>
    </row>
    <row r="243" customFormat="false" ht="15" hidden="false" customHeight="false" outlineLevel="0" collapsed="false">
      <c r="BW243" s="16" t="str">
        <f aca="false">IF($R243="","",INDEX(Codes!$E$2:$E$108,MATCH("B1|"&amp;$R243,Codes!$A$2:$A$108,0)))</f>
        <v/>
      </c>
      <c r="BX243" s="16" t="str">
        <f aca="false">IF($Y243="","",INDEX(Codes!$E$2:$E$108,MATCH("B4|"&amp;$Y243,Codes!$A$2:$A$108,0)))</f>
        <v/>
      </c>
      <c r="BY243" s="16" t="str">
        <f aca="false">IF($I243="","",INDEX(Codes!$E$2:$E$108,MATCH("A7|"&amp;$I243,Codes!$A$2:$A$108,0)))</f>
        <v/>
      </c>
      <c r="BZ243" s="16" t="str">
        <f aca="false">IF($AU243="","",INDEX(Codes!$E$2:$E$108,MATCH("B8|"&amp;$AU243,Codes!$A$2:$A$108,0)))</f>
        <v/>
      </c>
      <c r="CA243" s="16" t="str">
        <f aca="false">IF($H243="","",INDEX(Codes!$E$2:$E$108,MATCH("A6|"&amp;$H243,Codes!$A$2:$A$108,0)))</f>
        <v/>
      </c>
      <c r="CB243" s="16" t="str">
        <f aca="false">IF($X243="","",IF($X243="phone",1,0))</f>
        <v/>
      </c>
      <c r="CC243" s="16" t="str">
        <f aca="false">IF($BC243="","",8-$BC243)</f>
        <v/>
      </c>
    </row>
    <row r="244" customFormat="false" ht="15" hidden="false" customHeight="false" outlineLevel="0" collapsed="false">
      <c r="BW244" s="16" t="str">
        <f aca="false">IF($R244="","",INDEX(Codes!$E$2:$E$108,MATCH("B1|"&amp;$R244,Codes!$A$2:$A$108,0)))</f>
        <v/>
      </c>
      <c r="BX244" s="16" t="str">
        <f aca="false">IF($Y244="","",INDEX(Codes!$E$2:$E$108,MATCH("B4|"&amp;$Y244,Codes!$A$2:$A$108,0)))</f>
        <v/>
      </c>
      <c r="BY244" s="16" t="str">
        <f aca="false">IF($I244="","",INDEX(Codes!$E$2:$E$108,MATCH("A7|"&amp;$I244,Codes!$A$2:$A$108,0)))</f>
        <v/>
      </c>
      <c r="BZ244" s="16" t="str">
        <f aca="false">IF($AU244="","",INDEX(Codes!$E$2:$E$108,MATCH("B8|"&amp;$AU244,Codes!$A$2:$A$108,0)))</f>
        <v/>
      </c>
      <c r="CA244" s="16" t="str">
        <f aca="false">IF($H244="","",INDEX(Codes!$E$2:$E$108,MATCH("A6|"&amp;$H244,Codes!$A$2:$A$108,0)))</f>
        <v/>
      </c>
      <c r="CB244" s="16" t="str">
        <f aca="false">IF($X244="","",IF($X244="phone",1,0))</f>
        <v/>
      </c>
      <c r="CC244" s="16" t="str">
        <f aca="false">IF($BC244="","",8-$BC244)</f>
        <v/>
      </c>
    </row>
    <row r="245" customFormat="false" ht="15" hidden="false" customHeight="false" outlineLevel="0" collapsed="false">
      <c r="BW245" s="16" t="str">
        <f aca="false">IF($R245="","",INDEX(Codes!$E$2:$E$108,MATCH("B1|"&amp;$R245,Codes!$A$2:$A$108,0)))</f>
        <v/>
      </c>
      <c r="BX245" s="16" t="str">
        <f aca="false">IF($Y245="","",INDEX(Codes!$E$2:$E$108,MATCH("B4|"&amp;$Y245,Codes!$A$2:$A$108,0)))</f>
        <v/>
      </c>
      <c r="BY245" s="16" t="str">
        <f aca="false">IF($I245="","",INDEX(Codes!$E$2:$E$108,MATCH("A7|"&amp;$I245,Codes!$A$2:$A$108,0)))</f>
        <v/>
      </c>
      <c r="BZ245" s="16" t="str">
        <f aca="false">IF($AU245="","",INDEX(Codes!$E$2:$E$108,MATCH("B8|"&amp;$AU245,Codes!$A$2:$A$108,0)))</f>
        <v/>
      </c>
      <c r="CA245" s="16" t="str">
        <f aca="false">IF($H245="","",INDEX(Codes!$E$2:$E$108,MATCH("A6|"&amp;$H245,Codes!$A$2:$A$108,0)))</f>
        <v/>
      </c>
      <c r="CB245" s="16" t="str">
        <f aca="false">IF($X245="","",IF($X245="phone",1,0))</f>
        <v/>
      </c>
      <c r="CC245" s="16" t="str">
        <f aca="false">IF($BC245="","",8-$BC245)</f>
        <v/>
      </c>
    </row>
    <row r="246" customFormat="false" ht="15" hidden="false" customHeight="false" outlineLevel="0" collapsed="false">
      <c r="BW246" s="16" t="str">
        <f aca="false">IF($R246="","",INDEX(Codes!$E$2:$E$108,MATCH("B1|"&amp;$R246,Codes!$A$2:$A$108,0)))</f>
        <v/>
      </c>
      <c r="BX246" s="16" t="str">
        <f aca="false">IF($Y246="","",INDEX(Codes!$E$2:$E$108,MATCH("B4|"&amp;$Y246,Codes!$A$2:$A$108,0)))</f>
        <v/>
      </c>
      <c r="BY246" s="16" t="str">
        <f aca="false">IF($I246="","",INDEX(Codes!$E$2:$E$108,MATCH("A7|"&amp;$I246,Codes!$A$2:$A$108,0)))</f>
        <v/>
      </c>
      <c r="BZ246" s="16" t="str">
        <f aca="false">IF($AU246="","",INDEX(Codes!$E$2:$E$108,MATCH("B8|"&amp;$AU246,Codes!$A$2:$A$108,0)))</f>
        <v/>
      </c>
      <c r="CA246" s="16" t="str">
        <f aca="false">IF($H246="","",INDEX(Codes!$E$2:$E$108,MATCH("A6|"&amp;$H246,Codes!$A$2:$A$108,0)))</f>
        <v/>
      </c>
      <c r="CB246" s="16" t="str">
        <f aca="false">IF($X246="","",IF($X246="phone",1,0))</f>
        <v/>
      </c>
      <c r="CC246" s="16" t="str">
        <f aca="false">IF($BC246="","",8-$BC246)</f>
        <v/>
      </c>
    </row>
    <row r="247" customFormat="false" ht="15" hidden="false" customHeight="false" outlineLevel="0" collapsed="false">
      <c r="BW247" s="16" t="str">
        <f aca="false">IF($R247="","",INDEX(Codes!$E$2:$E$108,MATCH("B1|"&amp;$R247,Codes!$A$2:$A$108,0)))</f>
        <v/>
      </c>
      <c r="BX247" s="16" t="str">
        <f aca="false">IF($Y247="","",INDEX(Codes!$E$2:$E$108,MATCH("B4|"&amp;$Y247,Codes!$A$2:$A$108,0)))</f>
        <v/>
      </c>
      <c r="BY247" s="16" t="str">
        <f aca="false">IF($I247="","",INDEX(Codes!$E$2:$E$108,MATCH("A7|"&amp;$I247,Codes!$A$2:$A$108,0)))</f>
        <v/>
      </c>
      <c r="BZ247" s="16" t="str">
        <f aca="false">IF($AU247="","",INDEX(Codes!$E$2:$E$108,MATCH("B8|"&amp;$AU247,Codes!$A$2:$A$108,0)))</f>
        <v/>
      </c>
      <c r="CA247" s="16" t="str">
        <f aca="false">IF($H247="","",INDEX(Codes!$E$2:$E$108,MATCH("A6|"&amp;$H247,Codes!$A$2:$A$108,0)))</f>
        <v/>
      </c>
      <c r="CB247" s="16" t="str">
        <f aca="false">IF($X247="","",IF($X247="phone",1,0))</f>
        <v/>
      </c>
      <c r="CC247" s="16" t="str">
        <f aca="false">IF($BC247="","",8-$BC247)</f>
        <v/>
      </c>
    </row>
    <row r="248" customFormat="false" ht="15" hidden="false" customHeight="false" outlineLevel="0" collapsed="false">
      <c r="BW248" s="16" t="str">
        <f aca="false">IF($R248="","",INDEX(Codes!$E$2:$E$108,MATCH("B1|"&amp;$R248,Codes!$A$2:$A$108,0)))</f>
        <v/>
      </c>
      <c r="BX248" s="16" t="str">
        <f aca="false">IF($Y248="","",INDEX(Codes!$E$2:$E$108,MATCH("B4|"&amp;$Y248,Codes!$A$2:$A$108,0)))</f>
        <v/>
      </c>
      <c r="BY248" s="16" t="str">
        <f aca="false">IF($I248="","",INDEX(Codes!$E$2:$E$108,MATCH("A7|"&amp;$I248,Codes!$A$2:$A$108,0)))</f>
        <v/>
      </c>
      <c r="BZ248" s="16" t="str">
        <f aca="false">IF($AU248="","",INDEX(Codes!$E$2:$E$108,MATCH("B8|"&amp;$AU248,Codes!$A$2:$A$108,0)))</f>
        <v/>
      </c>
      <c r="CA248" s="16" t="str">
        <f aca="false">IF($H248="","",INDEX(Codes!$E$2:$E$108,MATCH("A6|"&amp;$H248,Codes!$A$2:$A$108,0)))</f>
        <v/>
      </c>
      <c r="CB248" s="16" t="str">
        <f aca="false">IF($X248="","",IF($X248="phone",1,0))</f>
        <v/>
      </c>
      <c r="CC248" s="16" t="str">
        <f aca="false">IF($BC248="","",8-$BC248)</f>
        <v/>
      </c>
    </row>
    <row r="249" customFormat="false" ht="15" hidden="false" customHeight="false" outlineLevel="0" collapsed="false">
      <c r="BW249" s="16" t="str">
        <f aca="false">IF($R249="","",INDEX(Codes!$E$2:$E$108,MATCH("B1|"&amp;$R249,Codes!$A$2:$A$108,0)))</f>
        <v/>
      </c>
      <c r="BX249" s="16" t="str">
        <f aca="false">IF($Y249="","",INDEX(Codes!$E$2:$E$108,MATCH("B4|"&amp;$Y249,Codes!$A$2:$A$108,0)))</f>
        <v/>
      </c>
      <c r="BY249" s="16" t="str">
        <f aca="false">IF($I249="","",INDEX(Codes!$E$2:$E$108,MATCH("A7|"&amp;$I249,Codes!$A$2:$A$108,0)))</f>
        <v/>
      </c>
      <c r="BZ249" s="16" t="str">
        <f aca="false">IF($AU249="","",INDEX(Codes!$E$2:$E$108,MATCH("B8|"&amp;$AU249,Codes!$A$2:$A$108,0)))</f>
        <v/>
      </c>
      <c r="CA249" s="16" t="str">
        <f aca="false">IF($H249="","",INDEX(Codes!$E$2:$E$108,MATCH("A6|"&amp;$H249,Codes!$A$2:$A$108,0)))</f>
        <v/>
      </c>
      <c r="CB249" s="16" t="str">
        <f aca="false">IF($X249="","",IF($X249="phone",1,0))</f>
        <v/>
      </c>
      <c r="CC249" s="16" t="str">
        <f aca="false">IF($BC249="","",8-$BC249)</f>
        <v/>
      </c>
    </row>
    <row r="250" customFormat="false" ht="15" hidden="false" customHeight="false" outlineLevel="0" collapsed="false">
      <c r="BW250" s="16" t="str">
        <f aca="false">IF($R250="","",INDEX(Codes!$E$2:$E$108,MATCH("B1|"&amp;$R250,Codes!$A$2:$A$108,0)))</f>
        <v/>
      </c>
      <c r="BX250" s="16" t="str">
        <f aca="false">IF($Y250="","",INDEX(Codes!$E$2:$E$108,MATCH("B4|"&amp;$Y250,Codes!$A$2:$A$108,0)))</f>
        <v/>
      </c>
      <c r="BY250" s="16" t="str">
        <f aca="false">IF($I250="","",INDEX(Codes!$E$2:$E$108,MATCH("A7|"&amp;$I250,Codes!$A$2:$A$108,0)))</f>
        <v/>
      </c>
      <c r="BZ250" s="16" t="str">
        <f aca="false">IF($AU250="","",INDEX(Codes!$E$2:$E$108,MATCH("B8|"&amp;$AU250,Codes!$A$2:$A$108,0)))</f>
        <v/>
      </c>
      <c r="CA250" s="16" t="str">
        <f aca="false">IF($H250="","",INDEX(Codes!$E$2:$E$108,MATCH("A6|"&amp;$H250,Codes!$A$2:$A$108,0)))</f>
        <v/>
      </c>
      <c r="CB250" s="16" t="str">
        <f aca="false">IF($X250="","",IF($X250="phone",1,0))</f>
        <v/>
      </c>
      <c r="CC250" s="16" t="str">
        <f aca="false">IF($BC250="","",8-$BC250)</f>
        <v/>
      </c>
    </row>
    <row r="251" customFormat="false" ht="15" hidden="false" customHeight="false" outlineLevel="0" collapsed="false">
      <c r="BW251" s="16" t="str">
        <f aca="false">IF($R251="","",INDEX(Codes!$E$2:$E$108,MATCH("B1|"&amp;$R251,Codes!$A$2:$A$108,0)))</f>
        <v/>
      </c>
      <c r="BX251" s="16" t="str">
        <f aca="false">IF($Y251="","",INDEX(Codes!$E$2:$E$108,MATCH("B4|"&amp;$Y251,Codes!$A$2:$A$108,0)))</f>
        <v/>
      </c>
      <c r="BY251" s="16" t="str">
        <f aca="false">IF($I251="","",INDEX(Codes!$E$2:$E$108,MATCH("A7|"&amp;$I251,Codes!$A$2:$A$108,0)))</f>
        <v/>
      </c>
      <c r="BZ251" s="16" t="str">
        <f aca="false">IF($AU251="","",INDEX(Codes!$E$2:$E$108,MATCH("B8|"&amp;$AU251,Codes!$A$2:$A$108,0)))</f>
        <v/>
      </c>
      <c r="CA251" s="16" t="str">
        <f aca="false">IF($H251="","",INDEX(Codes!$E$2:$E$108,MATCH("A6|"&amp;$H251,Codes!$A$2:$A$108,0)))</f>
        <v/>
      </c>
      <c r="CB251" s="16" t="str">
        <f aca="false">IF($X251="","",IF($X251="phone",1,0))</f>
        <v/>
      </c>
      <c r="CC251" s="16" t="str">
        <f aca="false">IF($BC251="","",8-$BC251)</f>
        <v/>
      </c>
    </row>
    <row r="252" customFormat="false" ht="15" hidden="false" customHeight="false" outlineLevel="0" collapsed="false">
      <c r="BW252" s="16" t="str">
        <f aca="false">IF($R252="","",INDEX(Codes!$E$2:$E$108,MATCH("B1|"&amp;$R252,Codes!$A$2:$A$108,0)))</f>
        <v/>
      </c>
      <c r="BX252" s="16" t="str">
        <f aca="false">IF($Y252="","",INDEX(Codes!$E$2:$E$108,MATCH("B4|"&amp;$Y252,Codes!$A$2:$A$108,0)))</f>
        <v/>
      </c>
      <c r="BY252" s="16" t="str">
        <f aca="false">IF($I252="","",INDEX(Codes!$E$2:$E$108,MATCH("A7|"&amp;$I252,Codes!$A$2:$A$108,0)))</f>
        <v/>
      </c>
      <c r="BZ252" s="16" t="str">
        <f aca="false">IF($AU252="","",INDEX(Codes!$E$2:$E$108,MATCH("B8|"&amp;$AU252,Codes!$A$2:$A$108,0)))</f>
        <v/>
      </c>
      <c r="CA252" s="16" t="str">
        <f aca="false">IF($H252="","",INDEX(Codes!$E$2:$E$108,MATCH("A6|"&amp;$H252,Codes!$A$2:$A$108,0)))</f>
        <v/>
      </c>
      <c r="CB252" s="16" t="str">
        <f aca="false">IF($X252="","",IF($X252="phone",1,0))</f>
        <v/>
      </c>
      <c r="CC252" s="16" t="str">
        <f aca="false">IF($BC252="","",8-$BC252)</f>
        <v/>
      </c>
    </row>
    <row r="253" customFormat="false" ht="15" hidden="false" customHeight="false" outlineLevel="0" collapsed="false">
      <c r="BW253" s="16" t="str">
        <f aca="false">IF($R253="","",INDEX(Codes!$E$2:$E$108,MATCH("B1|"&amp;$R253,Codes!$A$2:$A$108,0)))</f>
        <v/>
      </c>
      <c r="BX253" s="16" t="str">
        <f aca="false">IF($Y253="","",INDEX(Codes!$E$2:$E$108,MATCH("B4|"&amp;$Y253,Codes!$A$2:$A$108,0)))</f>
        <v/>
      </c>
      <c r="BY253" s="16" t="str">
        <f aca="false">IF($I253="","",INDEX(Codes!$E$2:$E$108,MATCH("A7|"&amp;$I253,Codes!$A$2:$A$108,0)))</f>
        <v/>
      </c>
      <c r="BZ253" s="16" t="str">
        <f aca="false">IF($AU253="","",INDEX(Codes!$E$2:$E$108,MATCH("B8|"&amp;$AU253,Codes!$A$2:$A$108,0)))</f>
        <v/>
      </c>
      <c r="CA253" s="16" t="str">
        <f aca="false">IF($H253="","",INDEX(Codes!$E$2:$E$108,MATCH("A6|"&amp;$H253,Codes!$A$2:$A$108,0)))</f>
        <v/>
      </c>
      <c r="CB253" s="16" t="str">
        <f aca="false">IF($X253="","",IF($X253="phone",1,0))</f>
        <v/>
      </c>
      <c r="CC253" s="16" t="str">
        <f aca="false">IF($BC253="","",8-$BC253)</f>
        <v/>
      </c>
    </row>
    <row r="254" customFormat="false" ht="15" hidden="false" customHeight="false" outlineLevel="0" collapsed="false">
      <c r="BW254" s="16" t="str">
        <f aca="false">IF($R254="","",INDEX(Codes!$E$2:$E$108,MATCH("B1|"&amp;$R254,Codes!$A$2:$A$108,0)))</f>
        <v/>
      </c>
      <c r="BX254" s="16" t="str">
        <f aca="false">IF($Y254="","",INDEX(Codes!$E$2:$E$108,MATCH("B4|"&amp;$Y254,Codes!$A$2:$A$108,0)))</f>
        <v/>
      </c>
      <c r="BY254" s="16" t="str">
        <f aca="false">IF($I254="","",INDEX(Codes!$E$2:$E$108,MATCH("A7|"&amp;$I254,Codes!$A$2:$A$108,0)))</f>
        <v/>
      </c>
      <c r="BZ254" s="16" t="str">
        <f aca="false">IF($AU254="","",INDEX(Codes!$E$2:$E$108,MATCH("B8|"&amp;$AU254,Codes!$A$2:$A$108,0)))</f>
        <v/>
      </c>
      <c r="CA254" s="16" t="str">
        <f aca="false">IF($H254="","",INDEX(Codes!$E$2:$E$108,MATCH("A6|"&amp;$H254,Codes!$A$2:$A$108,0)))</f>
        <v/>
      </c>
      <c r="CB254" s="16" t="str">
        <f aca="false">IF($X254="","",IF($X254="phone",1,0))</f>
        <v/>
      </c>
      <c r="CC254" s="16" t="str">
        <f aca="false">IF($BC254="","",8-$BC254)</f>
        <v/>
      </c>
    </row>
    <row r="255" customFormat="false" ht="15" hidden="false" customHeight="false" outlineLevel="0" collapsed="false">
      <c r="BW255" s="16" t="str">
        <f aca="false">IF($R255="","",INDEX(Codes!$E$2:$E$108,MATCH("B1|"&amp;$R255,Codes!$A$2:$A$108,0)))</f>
        <v/>
      </c>
      <c r="BX255" s="16" t="str">
        <f aca="false">IF($Y255="","",INDEX(Codes!$E$2:$E$108,MATCH("B4|"&amp;$Y255,Codes!$A$2:$A$108,0)))</f>
        <v/>
      </c>
      <c r="BY255" s="16" t="str">
        <f aca="false">IF($I255="","",INDEX(Codes!$E$2:$E$108,MATCH("A7|"&amp;$I255,Codes!$A$2:$A$108,0)))</f>
        <v/>
      </c>
      <c r="BZ255" s="16" t="str">
        <f aca="false">IF($AU255="","",INDEX(Codes!$E$2:$E$108,MATCH("B8|"&amp;$AU255,Codes!$A$2:$A$108,0)))</f>
        <v/>
      </c>
      <c r="CA255" s="16" t="str">
        <f aca="false">IF($H255="","",INDEX(Codes!$E$2:$E$108,MATCH("A6|"&amp;$H255,Codes!$A$2:$A$108,0)))</f>
        <v/>
      </c>
      <c r="CB255" s="16" t="str">
        <f aca="false">IF($X255="","",IF($X255="phone",1,0))</f>
        <v/>
      </c>
      <c r="CC255" s="16" t="str">
        <f aca="false">IF($BC255="","",8-$BC255)</f>
        <v/>
      </c>
    </row>
    <row r="256" customFormat="false" ht="15" hidden="false" customHeight="false" outlineLevel="0" collapsed="false">
      <c r="BW256" s="16" t="str">
        <f aca="false">IF($R256="","",INDEX(Codes!$E$2:$E$108,MATCH("B1|"&amp;$R256,Codes!$A$2:$A$108,0)))</f>
        <v/>
      </c>
      <c r="BX256" s="16" t="str">
        <f aca="false">IF($Y256="","",INDEX(Codes!$E$2:$E$108,MATCH("B4|"&amp;$Y256,Codes!$A$2:$A$108,0)))</f>
        <v/>
      </c>
      <c r="BY256" s="16" t="str">
        <f aca="false">IF($I256="","",INDEX(Codes!$E$2:$E$108,MATCH("A7|"&amp;$I256,Codes!$A$2:$A$108,0)))</f>
        <v/>
      </c>
      <c r="BZ256" s="16" t="str">
        <f aca="false">IF($AU256="","",INDEX(Codes!$E$2:$E$108,MATCH("B8|"&amp;$AU256,Codes!$A$2:$A$108,0)))</f>
        <v/>
      </c>
      <c r="CA256" s="16" t="str">
        <f aca="false">IF($H256="","",INDEX(Codes!$E$2:$E$108,MATCH("A6|"&amp;$H256,Codes!$A$2:$A$108,0)))</f>
        <v/>
      </c>
      <c r="CB256" s="16" t="str">
        <f aca="false">IF($X256="","",IF($X256="phone",1,0))</f>
        <v/>
      </c>
      <c r="CC256" s="16" t="str">
        <f aca="false">IF($BC256="","",8-$BC256)</f>
        <v/>
      </c>
    </row>
    <row r="257" customFormat="false" ht="15" hidden="false" customHeight="false" outlineLevel="0" collapsed="false">
      <c r="BW257" s="16" t="str">
        <f aca="false">IF($R257="","",INDEX(Codes!$E$2:$E$108,MATCH("B1|"&amp;$R257,Codes!$A$2:$A$108,0)))</f>
        <v/>
      </c>
      <c r="BX257" s="16" t="str">
        <f aca="false">IF($Y257="","",INDEX(Codes!$E$2:$E$108,MATCH("B4|"&amp;$Y257,Codes!$A$2:$A$108,0)))</f>
        <v/>
      </c>
      <c r="BY257" s="16" t="str">
        <f aca="false">IF($I257="","",INDEX(Codes!$E$2:$E$108,MATCH("A7|"&amp;$I257,Codes!$A$2:$A$108,0)))</f>
        <v/>
      </c>
      <c r="BZ257" s="16" t="str">
        <f aca="false">IF($AU257="","",INDEX(Codes!$E$2:$E$108,MATCH("B8|"&amp;$AU257,Codes!$A$2:$A$108,0)))</f>
        <v/>
      </c>
      <c r="CA257" s="16" t="str">
        <f aca="false">IF($H257="","",INDEX(Codes!$E$2:$E$108,MATCH("A6|"&amp;$H257,Codes!$A$2:$A$108,0)))</f>
        <v/>
      </c>
      <c r="CB257" s="16" t="str">
        <f aca="false">IF($X257="","",IF($X257="phone",1,0))</f>
        <v/>
      </c>
      <c r="CC257" s="16" t="str">
        <f aca="false">IF($BC257="","",8-$BC257)</f>
        <v/>
      </c>
    </row>
    <row r="258" customFormat="false" ht="15" hidden="false" customHeight="false" outlineLevel="0" collapsed="false">
      <c r="BW258" s="16" t="str">
        <f aca="false">IF($R258="","",INDEX(Codes!$E$2:$E$108,MATCH("B1|"&amp;$R258,Codes!$A$2:$A$108,0)))</f>
        <v/>
      </c>
      <c r="BX258" s="16" t="str">
        <f aca="false">IF($Y258="","",INDEX(Codes!$E$2:$E$108,MATCH("B4|"&amp;$Y258,Codes!$A$2:$A$108,0)))</f>
        <v/>
      </c>
      <c r="BY258" s="16" t="str">
        <f aca="false">IF($I258="","",INDEX(Codes!$E$2:$E$108,MATCH("A7|"&amp;$I258,Codes!$A$2:$A$108,0)))</f>
        <v/>
      </c>
      <c r="BZ258" s="16" t="str">
        <f aca="false">IF($AU258="","",INDEX(Codes!$E$2:$E$108,MATCH("B8|"&amp;$AU258,Codes!$A$2:$A$108,0)))</f>
        <v/>
      </c>
      <c r="CA258" s="16" t="str">
        <f aca="false">IF($H258="","",INDEX(Codes!$E$2:$E$108,MATCH("A6|"&amp;$H258,Codes!$A$2:$A$108,0)))</f>
        <v/>
      </c>
      <c r="CB258" s="16" t="str">
        <f aca="false">IF($X258="","",IF($X258="phone",1,0))</f>
        <v/>
      </c>
      <c r="CC258" s="16" t="str">
        <f aca="false">IF($BC258="","",8-$BC258)</f>
        <v/>
      </c>
    </row>
    <row r="259" customFormat="false" ht="15" hidden="false" customHeight="false" outlineLevel="0" collapsed="false">
      <c r="BW259" s="16" t="str">
        <f aca="false">IF($R259="","",INDEX(Codes!$E$2:$E$108,MATCH("B1|"&amp;$R259,Codes!$A$2:$A$108,0)))</f>
        <v/>
      </c>
      <c r="BX259" s="16" t="str">
        <f aca="false">IF($Y259="","",INDEX(Codes!$E$2:$E$108,MATCH("B4|"&amp;$Y259,Codes!$A$2:$A$108,0)))</f>
        <v/>
      </c>
      <c r="BY259" s="16" t="str">
        <f aca="false">IF($I259="","",INDEX(Codes!$E$2:$E$108,MATCH("A7|"&amp;$I259,Codes!$A$2:$A$108,0)))</f>
        <v/>
      </c>
      <c r="BZ259" s="16" t="str">
        <f aca="false">IF($AU259="","",INDEX(Codes!$E$2:$E$108,MATCH("B8|"&amp;$AU259,Codes!$A$2:$A$108,0)))</f>
        <v/>
      </c>
      <c r="CA259" s="16" t="str">
        <f aca="false">IF($H259="","",INDEX(Codes!$E$2:$E$108,MATCH("A6|"&amp;$H259,Codes!$A$2:$A$108,0)))</f>
        <v/>
      </c>
      <c r="CB259" s="16" t="str">
        <f aca="false">IF($X259="","",IF($X259="phone",1,0))</f>
        <v/>
      </c>
      <c r="CC259" s="16" t="str">
        <f aca="false">IF($BC259="","",8-$BC259)</f>
        <v/>
      </c>
    </row>
    <row r="260" customFormat="false" ht="15" hidden="false" customHeight="false" outlineLevel="0" collapsed="false">
      <c r="BW260" s="16" t="str">
        <f aca="false">IF($R260="","",INDEX(Codes!$E$2:$E$108,MATCH("B1|"&amp;$R260,Codes!$A$2:$A$108,0)))</f>
        <v/>
      </c>
      <c r="BX260" s="16" t="str">
        <f aca="false">IF($Y260="","",INDEX(Codes!$E$2:$E$108,MATCH("B4|"&amp;$Y260,Codes!$A$2:$A$108,0)))</f>
        <v/>
      </c>
      <c r="BY260" s="16" t="str">
        <f aca="false">IF($I260="","",INDEX(Codes!$E$2:$E$108,MATCH("A7|"&amp;$I260,Codes!$A$2:$A$108,0)))</f>
        <v/>
      </c>
      <c r="BZ260" s="16" t="str">
        <f aca="false">IF($AU260="","",INDEX(Codes!$E$2:$E$108,MATCH("B8|"&amp;$AU260,Codes!$A$2:$A$108,0)))</f>
        <v/>
      </c>
      <c r="CA260" s="16" t="str">
        <f aca="false">IF($H260="","",INDEX(Codes!$E$2:$E$108,MATCH("A6|"&amp;$H260,Codes!$A$2:$A$108,0)))</f>
        <v/>
      </c>
      <c r="CB260" s="16" t="str">
        <f aca="false">IF($X260="","",IF($X260="phone",1,0))</f>
        <v/>
      </c>
      <c r="CC260" s="16" t="str">
        <f aca="false">IF($BC260="","",8-$BC260)</f>
        <v/>
      </c>
    </row>
    <row r="261" customFormat="false" ht="15" hidden="false" customHeight="false" outlineLevel="0" collapsed="false">
      <c r="BW261" s="16" t="str">
        <f aca="false">IF($R261="","",INDEX(Codes!$E$2:$E$108,MATCH("B1|"&amp;$R261,Codes!$A$2:$A$108,0)))</f>
        <v/>
      </c>
      <c r="BX261" s="16" t="str">
        <f aca="false">IF($Y261="","",INDEX(Codes!$E$2:$E$108,MATCH("B4|"&amp;$Y261,Codes!$A$2:$A$108,0)))</f>
        <v/>
      </c>
      <c r="BY261" s="16" t="str">
        <f aca="false">IF($I261="","",INDEX(Codes!$E$2:$E$108,MATCH("A7|"&amp;$I261,Codes!$A$2:$A$108,0)))</f>
        <v/>
      </c>
      <c r="BZ261" s="16" t="str">
        <f aca="false">IF($AU261="","",INDEX(Codes!$E$2:$E$108,MATCH("B8|"&amp;$AU261,Codes!$A$2:$A$108,0)))</f>
        <v/>
      </c>
      <c r="CA261" s="16" t="str">
        <f aca="false">IF($H261="","",INDEX(Codes!$E$2:$E$108,MATCH("A6|"&amp;$H261,Codes!$A$2:$A$108,0)))</f>
        <v/>
      </c>
      <c r="CB261" s="16" t="str">
        <f aca="false">IF($X261="","",IF($X261="phone",1,0))</f>
        <v/>
      </c>
      <c r="CC261" s="16" t="str">
        <f aca="false">IF($BC261="","",8-$BC261)</f>
        <v/>
      </c>
    </row>
    <row r="262" customFormat="false" ht="15" hidden="false" customHeight="false" outlineLevel="0" collapsed="false">
      <c r="BW262" s="16" t="str">
        <f aca="false">IF($R262="","",INDEX(Codes!$E$2:$E$108,MATCH("B1|"&amp;$R262,Codes!$A$2:$A$108,0)))</f>
        <v/>
      </c>
      <c r="BX262" s="16" t="str">
        <f aca="false">IF($Y262="","",INDEX(Codes!$E$2:$E$108,MATCH("B4|"&amp;$Y262,Codes!$A$2:$A$108,0)))</f>
        <v/>
      </c>
      <c r="BY262" s="16" t="str">
        <f aca="false">IF($I262="","",INDEX(Codes!$E$2:$E$108,MATCH("A7|"&amp;$I262,Codes!$A$2:$A$108,0)))</f>
        <v/>
      </c>
      <c r="BZ262" s="16" t="str">
        <f aca="false">IF($AU262="","",INDEX(Codes!$E$2:$E$108,MATCH("B8|"&amp;$AU262,Codes!$A$2:$A$108,0)))</f>
        <v/>
      </c>
      <c r="CA262" s="16" t="str">
        <f aca="false">IF($H262="","",INDEX(Codes!$E$2:$E$108,MATCH("A6|"&amp;$H262,Codes!$A$2:$A$108,0)))</f>
        <v/>
      </c>
      <c r="CB262" s="16" t="str">
        <f aca="false">IF($X262="","",IF($X262="phone",1,0))</f>
        <v/>
      </c>
      <c r="CC262" s="16" t="str">
        <f aca="false">IF($BC262="","",8-$BC262)</f>
        <v/>
      </c>
    </row>
    <row r="263" customFormat="false" ht="15" hidden="false" customHeight="false" outlineLevel="0" collapsed="false">
      <c r="BW263" s="16" t="str">
        <f aca="false">IF($R263="","",INDEX(Codes!$E$2:$E$108,MATCH("B1|"&amp;$R263,Codes!$A$2:$A$108,0)))</f>
        <v/>
      </c>
      <c r="BX263" s="16" t="str">
        <f aca="false">IF($Y263="","",INDEX(Codes!$E$2:$E$108,MATCH("B4|"&amp;$Y263,Codes!$A$2:$A$108,0)))</f>
        <v/>
      </c>
      <c r="BY263" s="16" t="str">
        <f aca="false">IF($I263="","",INDEX(Codes!$E$2:$E$108,MATCH("A7|"&amp;$I263,Codes!$A$2:$A$108,0)))</f>
        <v/>
      </c>
      <c r="BZ263" s="16" t="str">
        <f aca="false">IF($AU263="","",INDEX(Codes!$E$2:$E$108,MATCH("B8|"&amp;$AU263,Codes!$A$2:$A$108,0)))</f>
        <v/>
      </c>
      <c r="CA263" s="16" t="str">
        <f aca="false">IF($H263="","",INDEX(Codes!$E$2:$E$108,MATCH("A6|"&amp;$H263,Codes!$A$2:$A$108,0)))</f>
        <v/>
      </c>
      <c r="CB263" s="16" t="str">
        <f aca="false">IF($X263="","",IF($X263="phone",1,0))</f>
        <v/>
      </c>
      <c r="CC263" s="16" t="str">
        <f aca="false">IF($BC263="","",8-$BC263)</f>
        <v/>
      </c>
    </row>
    <row r="264" customFormat="false" ht="15" hidden="false" customHeight="false" outlineLevel="0" collapsed="false">
      <c r="BW264" s="16" t="str">
        <f aca="false">IF($R264="","",INDEX(Codes!$E$2:$E$108,MATCH("B1|"&amp;$R264,Codes!$A$2:$A$108,0)))</f>
        <v/>
      </c>
      <c r="BX264" s="16" t="str">
        <f aca="false">IF($Y264="","",INDEX(Codes!$E$2:$E$108,MATCH("B4|"&amp;$Y264,Codes!$A$2:$A$108,0)))</f>
        <v/>
      </c>
      <c r="BY264" s="16" t="str">
        <f aca="false">IF($I264="","",INDEX(Codes!$E$2:$E$108,MATCH("A7|"&amp;$I264,Codes!$A$2:$A$108,0)))</f>
        <v/>
      </c>
      <c r="BZ264" s="16" t="str">
        <f aca="false">IF($AU264="","",INDEX(Codes!$E$2:$E$108,MATCH("B8|"&amp;$AU264,Codes!$A$2:$A$108,0)))</f>
        <v/>
      </c>
      <c r="CA264" s="16" t="str">
        <f aca="false">IF($H264="","",INDEX(Codes!$E$2:$E$108,MATCH("A6|"&amp;$H264,Codes!$A$2:$A$108,0)))</f>
        <v/>
      </c>
      <c r="CB264" s="16" t="str">
        <f aca="false">IF($X264="","",IF($X264="phone",1,0))</f>
        <v/>
      </c>
      <c r="CC264" s="16" t="str">
        <f aca="false">IF($BC264="","",8-$BC264)</f>
        <v/>
      </c>
    </row>
    <row r="265" customFormat="false" ht="15" hidden="false" customHeight="false" outlineLevel="0" collapsed="false">
      <c r="BW265" s="16" t="str">
        <f aca="false">IF($R265="","",INDEX(Codes!$E$2:$E$108,MATCH("B1|"&amp;$R265,Codes!$A$2:$A$108,0)))</f>
        <v/>
      </c>
      <c r="BX265" s="16" t="str">
        <f aca="false">IF($Y265="","",INDEX(Codes!$E$2:$E$108,MATCH("B4|"&amp;$Y265,Codes!$A$2:$A$108,0)))</f>
        <v/>
      </c>
      <c r="BY265" s="16" t="str">
        <f aca="false">IF($I265="","",INDEX(Codes!$E$2:$E$108,MATCH("A7|"&amp;$I265,Codes!$A$2:$A$108,0)))</f>
        <v/>
      </c>
      <c r="BZ265" s="16" t="str">
        <f aca="false">IF($AU265="","",INDEX(Codes!$E$2:$E$108,MATCH("B8|"&amp;$AU265,Codes!$A$2:$A$108,0)))</f>
        <v/>
      </c>
      <c r="CA265" s="16" t="str">
        <f aca="false">IF($H265="","",INDEX(Codes!$E$2:$E$108,MATCH("A6|"&amp;$H265,Codes!$A$2:$A$108,0)))</f>
        <v/>
      </c>
      <c r="CB265" s="16" t="str">
        <f aca="false">IF($X265="","",IF($X265="phone",1,0))</f>
        <v/>
      </c>
      <c r="CC265" s="16" t="str">
        <f aca="false">IF($BC265="","",8-$BC265)</f>
        <v/>
      </c>
    </row>
    <row r="266" customFormat="false" ht="15" hidden="false" customHeight="false" outlineLevel="0" collapsed="false">
      <c r="BW266" s="16" t="str">
        <f aca="false">IF($R266="","",INDEX(Codes!$E$2:$E$108,MATCH("B1|"&amp;$R266,Codes!$A$2:$A$108,0)))</f>
        <v/>
      </c>
      <c r="BX266" s="16" t="str">
        <f aca="false">IF($Y266="","",INDEX(Codes!$E$2:$E$108,MATCH("B4|"&amp;$Y266,Codes!$A$2:$A$108,0)))</f>
        <v/>
      </c>
      <c r="BY266" s="16" t="str">
        <f aca="false">IF($I266="","",INDEX(Codes!$E$2:$E$108,MATCH("A7|"&amp;$I266,Codes!$A$2:$A$108,0)))</f>
        <v/>
      </c>
      <c r="BZ266" s="16" t="str">
        <f aca="false">IF($AU266="","",INDEX(Codes!$E$2:$E$108,MATCH("B8|"&amp;$AU266,Codes!$A$2:$A$108,0)))</f>
        <v/>
      </c>
      <c r="CA266" s="16" t="str">
        <f aca="false">IF($H266="","",INDEX(Codes!$E$2:$E$108,MATCH("A6|"&amp;$H266,Codes!$A$2:$A$108,0)))</f>
        <v/>
      </c>
      <c r="CB266" s="16" t="str">
        <f aca="false">IF($X266="","",IF($X266="phone",1,0))</f>
        <v/>
      </c>
      <c r="CC266" s="16" t="str">
        <f aca="false">IF($BC266="","",8-$BC266)</f>
        <v/>
      </c>
    </row>
    <row r="267" customFormat="false" ht="15" hidden="false" customHeight="false" outlineLevel="0" collapsed="false">
      <c r="BW267" s="16" t="str">
        <f aca="false">IF($R267="","",INDEX(Codes!$E$2:$E$108,MATCH("B1|"&amp;$R267,Codes!$A$2:$A$108,0)))</f>
        <v/>
      </c>
      <c r="BX267" s="16" t="str">
        <f aca="false">IF($Y267="","",INDEX(Codes!$E$2:$E$108,MATCH("B4|"&amp;$Y267,Codes!$A$2:$A$108,0)))</f>
        <v/>
      </c>
      <c r="BY267" s="16" t="str">
        <f aca="false">IF($I267="","",INDEX(Codes!$E$2:$E$108,MATCH("A7|"&amp;$I267,Codes!$A$2:$A$108,0)))</f>
        <v/>
      </c>
      <c r="BZ267" s="16" t="str">
        <f aca="false">IF($AU267="","",INDEX(Codes!$E$2:$E$108,MATCH("B8|"&amp;$AU267,Codes!$A$2:$A$108,0)))</f>
        <v/>
      </c>
      <c r="CA267" s="16" t="str">
        <f aca="false">IF($H267="","",INDEX(Codes!$E$2:$E$108,MATCH("A6|"&amp;$H267,Codes!$A$2:$A$108,0)))</f>
        <v/>
      </c>
      <c r="CB267" s="16" t="str">
        <f aca="false">IF($X267="","",IF($X267="phone",1,0))</f>
        <v/>
      </c>
      <c r="CC267" s="16" t="str">
        <f aca="false">IF($BC267="","",8-$BC267)</f>
        <v/>
      </c>
    </row>
    <row r="268" customFormat="false" ht="15" hidden="false" customHeight="false" outlineLevel="0" collapsed="false">
      <c r="BW268" s="16" t="str">
        <f aca="false">IF($R268="","",INDEX(Codes!$E$2:$E$108,MATCH("B1|"&amp;$R268,Codes!$A$2:$A$108,0)))</f>
        <v/>
      </c>
      <c r="BX268" s="16" t="str">
        <f aca="false">IF($Y268="","",INDEX(Codes!$E$2:$E$108,MATCH("B4|"&amp;$Y268,Codes!$A$2:$A$108,0)))</f>
        <v/>
      </c>
      <c r="BY268" s="16" t="str">
        <f aca="false">IF($I268="","",INDEX(Codes!$E$2:$E$108,MATCH("A7|"&amp;$I268,Codes!$A$2:$A$108,0)))</f>
        <v/>
      </c>
      <c r="BZ268" s="16" t="str">
        <f aca="false">IF($AU268="","",INDEX(Codes!$E$2:$E$108,MATCH("B8|"&amp;$AU268,Codes!$A$2:$A$108,0)))</f>
        <v/>
      </c>
      <c r="CA268" s="16" t="str">
        <f aca="false">IF($H268="","",INDEX(Codes!$E$2:$E$108,MATCH("A6|"&amp;$H268,Codes!$A$2:$A$108,0)))</f>
        <v/>
      </c>
      <c r="CB268" s="16" t="str">
        <f aca="false">IF($X268="","",IF($X268="phone",1,0))</f>
        <v/>
      </c>
      <c r="CC268" s="16" t="str">
        <f aca="false">IF($BC268="","",8-$BC268)</f>
        <v/>
      </c>
    </row>
    <row r="269" customFormat="false" ht="15" hidden="false" customHeight="false" outlineLevel="0" collapsed="false">
      <c r="BW269" s="16" t="str">
        <f aca="false">IF($R269="","",INDEX(Codes!$E$2:$E$108,MATCH("B1|"&amp;$R269,Codes!$A$2:$A$108,0)))</f>
        <v/>
      </c>
      <c r="BX269" s="16" t="str">
        <f aca="false">IF($Y269="","",INDEX(Codes!$E$2:$E$108,MATCH("B4|"&amp;$Y269,Codes!$A$2:$A$108,0)))</f>
        <v/>
      </c>
      <c r="BY269" s="16" t="str">
        <f aca="false">IF($I269="","",INDEX(Codes!$E$2:$E$108,MATCH("A7|"&amp;$I269,Codes!$A$2:$A$108,0)))</f>
        <v/>
      </c>
      <c r="BZ269" s="16" t="str">
        <f aca="false">IF($AU269="","",INDEX(Codes!$E$2:$E$108,MATCH("B8|"&amp;$AU269,Codes!$A$2:$A$108,0)))</f>
        <v/>
      </c>
      <c r="CA269" s="16" t="str">
        <f aca="false">IF($H269="","",INDEX(Codes!$E$2:$E$108,MATCH("A6|"&amp;$H269,Codes!$A$2:$A$108,0)))</f>
        <v/>
      </c>
      <c r="CB269" s="16" t="str">
        <f aca="false">IF($X269="","",IF($X269="phone",1,0))</f>
        <v/>
      </c>
      <c r="CC269" s="16" t="str">
        <f aca="false">IF($BC269="","",8-$BC269)</f>
        <v/>
      </c>
    </row>
    <row r="270" customFormat="false" ht="15" hidden="false" customHeight="false" outlineLevel="0" collapsed="false">
      <c r="BW270" s="16" t="str">
        <f aca="false">IF($R270="","",INDEX(Codes!$E$2:$E$108,MATCH("B1|"&amp;$R270,Codes!$A$2:$A$108,0)))</f>
        <v/>
      </c>
      <c r="BX270" s="16" t="str">
        <f aca="false">IF($Y270="","",INDEX(Codes!$E$2:$E$108,MATCH("B4|"&amp;$Y270,Codes!$A$2:$A$108,0)))</f>
        <v/>
      </c>
      <c r="BY270" s="16" t="str">
        <f aca="false">IF($I270="","",INDEX(Codes!$E$2:$E$108,MATCH("A7|"&amp;$I270,Codes!$A$2:$A$108,0)))</f>
        <v/>
      </c>
      <c r="BZ270" s="16" t="str">
        <f aca="false">IF($AU270="","",INDEX(Codes!$E$2:$E$108,MATCH("B8|"&amp;$AU270,Codes!$A$2:$A$108,0)))</f>
        <v/>
      </c>
      <c r="CA270" s="16" t="str">
        <f aca="false">IF($H270="","",INDEX(Codes!$E$2:$E$108,MATCH("A6|"&amp;$H270,Codes!$A$2:$A$108,0)))</f>
        <v/>
      </c>
      <c r="CB270" s="16" t="str">
        <f aca="false">IF($X270="","",IF($X270="phone",1,0))</f>
        <v/>
      </c>
      <c r="CC270" s="16" t="str">
        <f aca="false">IF($BC270="","",8-$BC270)</f>
        <v/>
      </c>
    </row>
    <row r="271" customFormat="false" ht="15" hidden="false" customHeight="false" outlineLevel="0" collapsed="false">
      <c r="BW271" s="16" t="str">
        <f aca="false">IF($R271="","",INDEX(Codes!$E$2:$E$108,MATCH("B1|"&amp;$R271,Codes!$A$2:$A$108,0)))</f>
        <v/>
      </c>
      <c r="BX271" s="16" t="str">
        <f aca="false">IF($Y271="","",INDEX(Codes!$E$2:$E$108,MATCH("B4|"&amp;$Y271,Codes!$A$2:$A$108,0)))</f>
        <v/>
      </c>
      <c r="BY271" s="16" t="str">
        <f aca="false">IF($I271="","",INDEX(Codes!$E$2:$E$108,MATCH("A7|"&amp;$I271,Codes!$A$2:$A$108,0)))</f>
        <v/>
      </c>
      <c r="BZ271" s="16" t="str">
        <f aca="false">IF($AU271="","",INDEX(Codes!$E$2:$E$108,MATCH("B8|"&amp;$AU271,Codes!$A$2:$A$108,0)))</f>
        <v/>
      </c>
      <c r="CA271" s="16" t="str">
        <f aca="false">IF($H271="","",INDEX(Codes!$E$2:$E$108,MATCH("A6|"&amp;$H271,Codes!$A$2:$A$108,0)))</f>
        <v/>
      </c>
      <c r="CB271" s="16" t="str">
        <f aca="false">IF($X271="","",IF($X271="phone",1,0))</f>
        <v/>
      </c>
      <c r="CC271" s="16" t="str">
        <f aca="false">IF($BC271="","",8-$BC271)</f>
        <v/>
      </c>
    </row>
    <row r="272" customFormat="false" ht="15" hidden="false" customHeight="false" outlineLevel="0" collapsed="false">
      <c r="BW272" s="16" t="str">
        <f aca="false">IF($R272="","",INDEX(Codes!$E$2:$E$108,MATCH("B1|"&amp;$R272,Codes!$A$2:$A$108,0)))</f>
        <v/>
      </c>
      <c r="BX272" s="16" t="str">
        <f aca="false">IF($Y272="","",INDEX(Codes!$E$2:$E$108,MATCH("B4|"&amp;$Y272,Codes!$A$2:$A$108,0)))</f>
        <v/>
      </c>
      <c r="BY272" s="16" t="str">
        <f aca="false">IF($I272="","",INDEX(Codes!$E$2:$E$108,MATCH("A7|"&amp;$I272,Codes!$A$2:$A$108,0)))</f>
        <v/>
      </c>
      <c r="BZ272" s="16" t="str">
        <f aca="false">IF($AU272="","",INDEX(Codes!$E$2:$E$108,MATCH("B8|"&amp;$AU272,Codes!$A$2:$A$108,0)))</f>
        <v/>
      </c>
      <c r="CA272" s="16" t="str">
        <f aca="false">IF($H272="","",INDEX(Codes!$E$2:$E$108,MATCH("A6|"&amp;$H272,Codes!$A$2:$A$108,0)))</f>
        <v/>
      </c>
      <c r="CB272" s="16" t="str">
        <f aca="false">IF($X272="","",IF($X272="phone",1,0))</f>
        <v/>
      </c>
      <c r="CC272" s="16" t="str">
        <f aca="false">IF($BC272="","",8-$BC272)</f>
        <v/>
      </c>
    </row>
    <row r="273" customFormat="false" ht="15" hidden="false" customHeight="false" outlineLevel="0" collapsed="false">
      <c r="BW273" s="16" t="str">
        <f aca="false">IF($R273="","",INDEX(Codes!$E$2:$E$108,MATCH("B1|"&amp;$R273,Codes!$A$2:$A$108,0)))</f>
        <v/>
      </c>
      <c r="BX273" s="16" t="str">
        <f aca="false">IF($Y273="","",INDEX(Codes!$E$2:$E$108,MATCH("B4|"&amp;$Y273,Codes!$A$2:$A$108,0)))</f>
        <v/>
      </c>
      <c r="BY273" s="16" t="str">
        <f aca="false">IF($I273="","",INDEX(Codes!$E$2:$E$108,MATCH("A7|"&amp;$I273,Codes!$A$2:$A$108,0)))</f>
        <v/>
      </c>
      <c r="BZ273" s="16" t="str">
        <f aca="false">IF($AU273="","",INDEX(Codes!$E$2:$E$108,MATCH("B8|"&amp;$AU273,Codes!$A$2:$A$108,0)))</f>
        <v/>
      </c>
      <c r="CA273" s="16" t="str">
        <f aca="false">IF($H273="","",INDEX(Codes!$E$2:$E$108,MATCH("A6|"&amp;$H273,Codes!$A$2:$A$108,0)))</f>
        <v/>
      </c>
      <c r="CB273" s="16" t="str">
        <f aca="false">IF($X273="","",IF($X273="phone",1,0))</f>
        <v/>
      </c>
      <c r="CC273" s="16" t="str">
        <f aca="false">IF($BC273="","",8-$BC273)</f>
        <v/>
      </c>
    </row>
    <row r="274" customFormat="false" ht="15" hidden="false" customHeight="false" outlineLevel="0" collapsed="false">
      <c r="BW274" s="16" t="str">
        <f aca="false">IF($R274="","",INDEX(Codes!$E$2:$E$108,MATCH("B1|"&amp;$R274,Codes!$A$2:$A$108,0)))</f>
        <v/>
      </c>
      <c r="BX274" s="16" t="str">
        <f aca="false">IF($Y274="","",INDEX(Codes!$E$2:$E$108,MATCH("B4|"&amp;$Y274,Codes!$A$2:$A$108,0)))</f>
        <v/>
      </c>
      <c r="BY274" s="16" t="str">
        <f aca="false">IF($I274="","",INDEX(Codes!$E$2:$E$108,MATCH("A7|"&amp;$I274,Codes!$A$2:$A$108,0)))</f>
        <v/>
      </c>
      <c r="BZ274" s="16" t="str">
        <f aca="false">IF($AU274="","",INDEX(Codes!$E$2:$E$108,MATCH("B8|"&amp;$AU274,Codes!$A$2:$A$108,0)))</f>
        <v/>
      </c>
      <c r="CA274" s="16" t="str">
        <f aca="false">IF($H274="","",INDEX(Codes!$E$2:$E$108,MATCH("A6|"&amp;$H274,Codes!$A$2:$A$108,0)))</f>
        <v/>
      </c>
      <c r="CB274" s="16" t="str">
        <f aca="false">IF($X274="","",IF($X274="phone",1,0))</f>
        <v/>
      </c>
      <c r="CC274" s="16" t="str">
        <f aca="false">IF($BC274="","",8-$BC274)</f>
        <v/>
      </c>
    </row>
    <row r="275" customFormat="false" ht="15" hidden="false" customHeight="false" outlineLevel="0" collapsed="false">
      <c r="BW275" s="16" t="str">
        <f aca="false">IF($R275="","",INDEX(Codes!$E$2:$E$108,MATCH("B1|"&amp;$R275,Codes!$A$2:$A$108,0)))</f>
        <v/>
      </c>
      <c r="BX275" s="16" t="str">
        <f aca="false">IF($Y275="","",INDEX(Codes!$E$2:$E$108,MATCH("B4|"&amp;$Y275,Codes!$A$2:$A$108,0)))</f>
        <v/>
      </c>
      <c r="BY275" s="16" t="str">
        <f aca="false">IF($I275="","",INDEX(Codes!$E$2:$E$108,MATCH("A7|"&amp;$I275,Codes!$A$2:$A$108,0)))</f>
        <v/>
      </c>
      <c r="BZ275" s="16" t="str">
        <f aca="false">IF($AU275="","",INDEX(Codes!$E$2:$E$108,MATCH("B8|"&amp;$AU275,Codes!$A$2:$A$108,0)))</f>
        <v/>
      </c>
      <c r="CA275" s="16" t="str">
        <f aca="false">IF($H275="","",INDEX(Codes!$E$2:$E$108,MATCH("A6|"&amp;$H275,Codes!$A$2:$A$108,0)))</f>
        <v/>
      </c>
      <c r="CB275" s="16" t="str">
        <f aca="false">IF($X275="","",IF($X275="phone",1,0))</f>
        <v/>
      </c>
      <c r="CC275" s="16" t="str">
        <f aca="false">IF($BC275="","",8-$BC275)</f>
        <v/>
      </c>
    </row>
    <row r="276" customFormat="false" ht="15" hidden="false" customHeight="false" outlineLevel="0" collapsed="false">
      <c r="BW276" s="16" t="str">
        <f aca="false">IF($R276="","",INDEX(Codes!$E$2:$E$108,MATCH("B1|"&amp;$R276,Codes!$A$2:$A$108,0)))</f>
        <v/>
      </c>
      <c r="BX276" s="16" t="str">
        <f aca="false">IF($Y276="","",INDEX(Codes!$E$2:$E$108,MATCH("B4|"&amp;$Y276,Codes!$A$2:$A$108,0)))</f>
        <v/>
      </c>
      <c r="BY276" s="16" t="str">
        <f aca="false">IF($I276="","",INDEX(Codes!$E$2:$E$108,MATCH("A7|"&amp;$I276,Codes!$A$2:$A$108,0)))</f>
        <v/>
      </c>
      <c r="BZ276" s="16" t="str">
        <f aca="false">IF($AU276="","",INDEX(Codes!$E$2:$E$108,MATCH("B8|"&amp;$AU276,Codes!$A$2:$A$108,0)))</f>
        <v/>
      </c>
      <c r="CA276" s="16" t="str">
        <f aca="false">IF($H276="","",INDEX(Codes!$E$2:$E$108,MATCH("A6|"&amp;$H276,Codes!$A$2:$A$108,0)))</f>
        <v/>
      </c>
      <c r="CB276" s="16" t="str">
        <f aca="false">IF($X276="","",IF($X276="phone",1,0))</f>
        <v/>
      </c>
      <c r="CC276" s="16" t="str">
        <f aca="false">IF($BC276="","",8-$BC276)</f>
        <v/>
      </c>
    </row>
    <row r="277" customFormat="false" ht="15" hidden="false" customHeight="false" outlineLevel="0" collapsed="false">
      <c r="BW277" s="16" t="str">
        <f aca="false">IF($R277="","",INDEX(Codes!$E$2:$E$108,MATCH("B1|"&amp;$R277,Codes!$A$2:$A$108,0)))</f>
        <v/>
      </c>
      <c r="BX277" s="16" t="str">
        <f aca="false">IF($Y277="","",INDEX(Codes!$E$2:$E$108,MATCH("B4|"&amp;$Y277,Codes!$A$2:$A$108,0)))</f>
        <v/>
      </c>
      <c r="BY277" s="16" t="str">
        <f aca="false">IF($I277="","",INDEX(Codes!$E$2:$E$108,MATCH("A7|"&amp;$I277,Codes!$A$2:$A$108,0)))</f>
        <v/>
      </c>
      <c r="BZ277" s="16" t="str">
        <f aca="false">IF($AU277="","",INDEX(Codes!$E$2:$E$108,MATCH("B8|"&amp;$AU277,Codes!$A$2:$A$108,0)))</f>
        <v/>
      </c>
      <c r="CA277" s="16" t="str">
        <f aca="false">IF($H277="","",INDEX(Codes!$E$2:$E$108,MATCH("A6|"&amp;$H277,Codes!$A$2:$A$108,0)))</f>
        <v/>
      </c>
      <c r="CB277" s="16" t="str">
        <f aca="false">IF($X277="","",IF($X277="phone",1,0))</f>
        <v/>
      </c>
      <c r="CC277" s="16" t="str">
        <f aca="false">IF($BC277="","",8-$BC277)</f>
        <v/>
      </c>
    </row>
    <row r="278" customFormat="false" ht="15" hidden="false" customHeight="false" outlineLevel="0" collapsed="false">
      <c r="BW278" s="16" t="str">
        <f aca="false">IF($R278="","",INDEX(Codes!$E$2:$E$108,MATCH("B1|"&amp;$R278,Codes!$A$2:$A$108,0)))</f>
        <v/>
      </c>
      <c r="BX278" s="16" t="str">
        <f aca="false">IF($Y278="","",INDEX(Codes!$E$2:$E$108,MATCH("B4|"&amp;$Y278,Codes!$A$2:$A$108,0)))</f>
        <v/>
      </c>
      <c r="BY278" s="16" t="str">
        <f aca="false">IF($I278="","",INDEX(Codes!$E$2:$E$108,MATCH("A7|"&amp;$I278,Codes!$A$2:$A$108,0)))</f>
        <v/>
      </c>
      <c r="BZ278" s="16" t="str">
        <f aca="false">IF($AU278="","",INDEX(Codes!$E$2:$E$108,MATCH("B8|"&amp;$AU278,Codes!$A$2:$A$108,0)))</f>
        <v/>
      </c>
      <c r="CA278" s="16" t="str">
        <f aca="false">IF($H278="","",INDEX(Codes!$E$2:$E$108,MATCH("A6|"&amp;$H278,Codes!$A$2:$A$108,0)))</f>
        <v/>
      </c>
      <c r="CB278" s="16" t="str">
        <f aca="false">IF($X278="","",IF($X278="phone",1,0))</f>
        <v/>
      </c>
      <c r="CC278" s="16" t="str">
        <f aca="false">IF($BC278="","",8-$BC278)</f>
        <v/>
      </c>
    </row>
    <row r="279" customFormat="false" ht="15" hidden="false" customHeight="false" outlineLevel="0" collapsed="false">
      <c r="BW279" s="16" t="str">
        <f aca="false">IF($R279="","",INDEX(Codes!$E$2:$E$108,MATCH("B1|"&amp;$R279,Codes!$A$2:$A$108,0)))</f>
        <v/>
      </c>
      <c r="BX279" s="16" t="str">
        <f aca="false">IF($Y279="","",INDEX(Codes!$E$2:$E$108,MATCH("B4|"&amp;$Y279,Codes!$A$2:$A$108,0)))</f>
        <v/>
      </c>
      <c r="BY279" s="16" t="str">
        <f aca="false">IF($I279="","",INDEX(Codes!$E$2:$E$108,MATCH("A7|"&amp;$I279,Codes!$A$2:$A$108,0)))</f>
        <v/>
      </c>
      <c r="BZ279" s="16" t="str">
        <f aca="false">IF($AU279="","",INDEX(Codes!$E$2:$E$108,MATCH("B8|"&amp;$AU279,Codes!$A$2:$A$108,0)))</f>
        <v/>
      </c>
      <c r="CA279" s="16" t="str">
        <f aca="false">IF($H279="","",INDEX(Codes!$E$2:$E$108,MATCH("A6|"&amp;$H279,Codes!$A$2:$A$108,0)))</f>
        <v/>
      </c>
      <c r="CB279" s="16" t="str">
        <f aca="false">IF($X279="","",IF($X279="phone",1,0))</f>
        <v/>
      </c>
      <c r="CC279" s="16" t="str">
        <f aca="false">IF($BC279="","",8-$BC279)</f>
        <v/>
      </c>
    </row>
    <row r="280" customFormat="false" ht="15" hidden="false" customHeight="false" outlineLevel="0" collapsed="false">
      <c r="BW280" s="16" t="str">
        <f aca="false">IF($R280="","",INDEX(Codes!$E$2:$E$108,MATCH("B1|"&amp;$R280,Codes!$A$2:$A$108,0)))</f>
        <v/>
      </c>
      <c r="BX280" s="16" t="str">
        <f aca="false">IF($Y280="","",INDEX(Codes!$E$2:$E$108,MATCH("B4|"&amp;$Y280,Codes!$A$2:$A$108,0)))</f>
        <v/>
      </c>
      <c r="BY280" s="16" t="str">
        <f aca="false">IF($I280="","",INDEX(Codes!$E$2:$E$108,MATCH("A7|"&amp;$I280,Codes!$A$2:$A$108,0)))</f>
        <v/>
      </c>
      <c r="BZ280" s="16" t="str">
        <f aca="false">IF($AU280="","",INDEX(Codes!$E$2:$E$108,MATCH("B8|"&amp;$AU280,Codes!$A$2:$A$108,0)))</f>
        <v/>
      </c>
      <c r="CA280" s="16" t="str">
        <f aca="false">IF($H280="","",INDEX(Codes!$E$2:$E$108,MATCH("A6|"&amp;$H280,Codes!$A$2:$A$108,0)))</f>
        <v/>
      </c>
      <c r="CB280" s="16" t="str">
        <f aca="false">IF($X280="","",IF($X280="phone",1,0))</f>
        <v/>
      </c>
      <c r="CC280" s="16" t="str">
        <f aca="false">IF($BC280="","",8-$BC280)</f>
        <v/>
      </c>
    </row>
    <row r="281" customFormat="false" ht="15" hidden="false" customHeight="false" outlineLevel="0" collapsed="false">
      <c r="BW281" s="16" t="str">
        <f aca="false">IF($R281="","",INDEX(Codes!$E$2:$E$108,MATCH("B1|"&amp;$R281,Codes!$A$2:$A$108,0)))</f>
        <v/>
      </c>
      <c r="BX281" s="16" t="str">
        <f aca="false">IF($Y281="","",INDEX(Codes!$E$2:$E$108,MATCH("B4|"&amp;$Y281,Codes!$A$2:$A$108,0)))</f>
        <v/>
      </c>
      <c r="BY281" s="16" t="str">
        <f aca="false">IF($I281="","",INDEX(Codes!$E$2:$E$108,MATCH("A7|"&amp;$I281,Codes!$A$2:$A$108,0)))</f>
        <v/>
      </c>
      <c r="BZ281" s="16" t="str">
        <f aca="false">IF($AU281="","",INDEX(Codes!$E$2:$E$108,MATCH("B8|"&amp;$AU281,Codes!$A$2:$A$108,0)))</f>
        <v/>
      </c>
      <c r="CA281" s="16" t="str">
        <f aca="false">IF($H281="","",INDEX(Codes!$E$2:$E$108,MATCH("A6|"&amp;$H281,Codes!$A$2:$A$108,0)))</f>
        <v/>
      </c>
      <c r="CB281" s="16" t="str">
        <f aca="false">IF($X281="","",IF($X281="phone",1,0))</f>
        <v/>
      </c>
      <c r="CC281" s="16" t="str">
        <f aca="false">IF($BC281="","",8-$BC281)</f>
        <v/>
      </c>
    </row>
    <row r="282" customFormat="false" ht="15" hidden="false" customHeight="false" outlineLevel="0" collapsed="false">
      <c r="BW282" s="16" t="str">
        <f aca="false">IF($R282="","",INDEX(Codes!$E$2:$E$108,MATCH("B1|"&amp;$R282,Codes!$A$2:$A$108,0)))</f>
        <v/>
      </c>
      <c r="BX282" s="16" t="str">
        <f aca="false">IF($Y282="","",INDEX(Codes!$E$2:$E$108,MATCH("B4|"&amp;$Y282,Codes!$A$2:$A$108,0)))</f>
        <v/>
      </c>
      <c r="BY282" s="16" t="str">
        <f aca="false">IF($I282="","",INDEX(Codes!$E$2:$E$108,MATCH("A7|"&amp;$I282,Codes!$A$2:$A$108,0)))</f>
        <v/>
      </c>
      <c r="BZ282" s="16" t="str">
        <f aca="false">IF($AU282="","",INDEX(Codes!$E$2:$E$108,MATCH("B8|"&amp;$AU282,Codes!$A$2:$A$108,0)))</f>
        <v/>
      </c>
      <c r="CA282" s="16" t="str">
        <f aca="false">IF($H282="","",INDEX(Codes!$E$2:$E$108,MATCH("A6|"&amp;$H282,Codes!$A$2:$A$108,0)))</f>
        <v/>
      </c>
      <c r="CB282" s="16" t="str">
        <f aca="false">IF($X282="","",IF($X282="phone",1,0))</f>
        <v/>
      </c>
      <c r="CC282" s="16" t="str">
        <f aca="false">IF($BC282="","",8-$BC282)</f>
        <v/>
      </c>
    </row>
    <row r="283" customFormat="false" ht="15" hidden="false" customHeight="false" outlineLevel="0" collapsed="false">
      <c r="BW283" s="16" t="str">
        <f aca="false">IF($R283="","",INDEX(Codes!$E$2:$E$108,MATCH("B1|"&amp;$R283,Codes!$A$2:$A$108,0)))</f>
        <v/>
      </c>
      <c r="BX283" s="16" t="str">
        <f aca="false">IF($Y283="","",INDEX(Codes!$E$2:$E$108,MATCH("B4|"&amp;$Y283,Codes!$A$2:$A$108,0)))</f>
        <v/>
      </c>
      <c r="BY283" s="16" t="str">
        <f aca="false">IF($I283="","",INDEX(Codes!$E$2:$E$108,MATCH("A7|"&amp;$I283,Codes!$A$2:$A$108,0)))</f>
        <v/>
      </c>
      <c r="BZ283" s="16" t="str">
        <f aca="false">IF($AU283="","",INDEX(Codes!$E$2:$E$108,MATCH("B8|"&amp;$AU283,Codes!$A$2:$A$108,0)))</f>
        <v/>
      </c>
      <c r="CA283" s="16" t="str">
        <f aca="false">IF($H283="","",INDEX(Codes!$E$2:$E$108,MATCH("A6|"&amp;$H283,Codes!$A$2:$A$108,0)))</f>
        <v/>
      </c>
      <c r="CB283" s="16" t="str">
        <f aca="false">IF($X283="","",IF($X283="phone",1,0))</f>
        <v/>
      </c>
      <c r="CC283" s="16" t="str">
        <f aca="false">IF($BC283="","",8-$BC283)</f>
        <v/>
      </c>
    </row>
    <row r="284" customFormat="false" ht="15" hidden="false" customHeight="false" outlineLevel="0" collapsed="false">
      <c r="BW284" s="16" t="str">
        <f aca="false">IF($R284="","",INDEX(Codes!$E$2:$E$108,MATCH("B1|"&amp;$R284,Codes!$A$2:$A$108,0)))</f>
        <v/>
      </c>
      <c r="BX284" s="16" t="str">
        <f aca="false">IF($Y284="","",INDEX(Codes!$E$2:$E$108,MATCH("B4|"&amp;$Y284,Codes!$A$2:$A$108,0)))</f>
        <v/>
      </c>
      <c r="BY284" s="16" t="str">
        <f aca="false">IF($I284="","",INDEX(Codes!$E$2:$E$108,MATCH("A7|"&amp;$I284,Codes!$A$2:$A$108,0)))</f>
        <v/>
      </c>
      <c r="BZ284" s="16" t="str">
        <f aca="false">IF($AU284="","",INDEX(Codes!$E$2:$E$108,MATCH("B8|"&amp;$AU284,Codes!$A$2:$A$108,0)))</f>
        <v/>
      </c>
      <c r="CA284" s="16" t="str">
        <f aca="false">IF($H284="","",INDEX(Codes!$E$2:$E$108,MATCH("A6|"&amp;$H284,Codes!$A$2:$A$108,0)))</f>
        <v/>
      </c>
      <c r="CB284" s="16" t="str">
        <f aca="false">IF($X284="","",IF($X284="phone",1,0))</f>
        <v/>
      </c>
      <c r="CC284" s="16" t="str">
        <f aca="false">IF($BC284="","",8-$BC284)</f>
        <v/>
      </c>
    </row>
    <row r="285" customFormat="false" ht="15" hidden="false" customHeight="false" outlineLevel="0" collapsed="false">
      <c r="BW285" s="16" t="str">
        <f aca="false">IF($R285="","",INDEX(Codes!$E$2:$E$108,MATCH("B1|"&amp;$R285,Codes!$A$2:$A$108,0)))</f>
        <v/>
      </c>
      <c r="BX285" s="16" t="str">
        <f aca="false">IF($Y285="","",INDEX(Codes!$E$2:$E$108,MATCH("B4|"&amp;$Y285,Codes!$A$2:$A$108,0)))</f>
        <v/>
      </c>
      <c r="BY285" s="16" t="str">
        <f aca="false">IF($I285="","",INDEX(Codes!$E$2:$E$108,MATCH("A7|"&amp;$I285,Codes!$A$2:$A$108,0)))</f>
        <v/>
      </c>
      <c r="BZ285" s="16" t="str">
        <f aca="false">IF($AU285="","",INDEX(Codes!$E$2:$E$108,MATCH("B8|"&amp;$AU285,Codes!$A$2:$A$108,0)))</f>
        <v/>
      </c>
      <c r="CA285" s="16" t="str">
        <f aca="false">IF($H285="","",INDEX(Codes!$E$2:$E$108,MATCH("A6|"&amp;$H285,Codes!$A$2:$A$108,0)))</f>
        <v/>
      </c>
      <c r="CB285" s="16" t="str">
        <f aca="false">IF($X285="","",IF($X285="phone",1,0))</f>
        <v/>
      </c>
      <c r="CC285" s="16" t="str">
        <f aca="false">IF($BC285="","",8-$BC285)</f>
        <v/>
      </c>
    </row>
    <row r="286" customFormat="false" ht="15" hidden="false" customHeight="false" outlineLevel="0" collapsed="false">
      <c r="BW286" s="16" t="str">
        <f aca="false">IF($R286="","",INDEX(Codes!$E$2:$E$108,MATCH("B1|"&amp;$R286,Codes!$A$2:$A$108,0)))</f>
        <v/>
      </c>
      <c r="BX286" s="16" t="str">
        <f aca="false">IF($Y286="","",INDEX(Codes!$E$2:$E$108,MATCH("B4|"&amp;$Y286,Codes!$A$2:$A$108,0)))</f>
        <v/>
      </c>
      <c r="BY286" s="16" t="str">
        <f aca="false">IF($I286="","",INDEX(Codes!$E$2:$E$108,MATCH("A7|"&amp;$I286,Codes!$A$2:$A$108,0)))</f>
        <v/>
      </c>
      <c r="BZ286" s="16" t="str">
        <f aca="false">IF($AU286="","",INDEX(Codes!$E$2:$E$108,MATCH("B8|"&amp;$AU286,Codes!$A$2:$A$108,0)))</f>
        <v/>
      </c>
      <c r="CA286" s="16" t="str">
        <f aca="false">IF($H286="","",INDEX(Codes!$E$2:$E$108,MATCH("A6|"&amp;$H286,Codes!$A$2:$A$108,0)))</f>
        <v/>
      </c>
      <c r="CB286" s="16" t="str">
        <f aca="false">IF($X286="","",IF($X286="phone",1,0))</f>
        <v/>
      </c>
      <c r="CC286" s="16" t="str">
        <f aca="false">IF($BC286="","",8-$BC286)</f>
        <v/>
      </c>
    </row>
    <row r="287" customFormat="false" ht="15" hidden="false" customHeight="false" outlineLevel="0" collapsed="false">
      <c r="BW287" s="16" t="str">
        <f aca="false">IF($R287="","",INDEX(Codes!$E$2:$E$108,MATCH("B1|"&amp;$R287,Codes!$A$2:$A$108,0)))</f>
        <v/>
      </c>
      <c r="BX287" s="16" t="str">
        <f aca="false">IF($Y287="","",INDEX(Codes!$E$2:$E$108,MATCH("B4|"&amp;$Y287,Codes!$A$2:$A$108,0)))</f>
        <v/>
      </c>
      <c r="BY287" s="16" t="str">
        <f aca="false">IF($I287="","",INDEX(Codes!$E$2:$E$108,MATCH("A7|"&amp;$I287,Codes!$A$2:$A$108,0)))</f>
        <v/>
      </c>
      <c r="BZ287" s="16" t="str">
        <f aca="false">IF($AU287="","",INDEX(Codes!$E$2:$E$108,MATCH("B8|"&amp;$AU287,Codes!$A$2:$A$108,0)))</f>
        <v/>
      </c>
      <c r="CA287" s="16" t="str">
        <f aca="false">IF($H287="","",INDEX(Codes!$E$2:$E$108,MATCH("A6|"&amp;$H287,Codes!$A$2:$A$108,0)))</f>
        <v/>
      </c>
      <c r="CB287" s="16" t="str">
        <f aca="false">IF($X287="","",IF($X287="phone",1,0))</f>
        <v/>
      </c>
      <c r="CC287" s="16" t="str">
        <f aca="false">IF($BC287="","",8-$BC287)</f>
        <v/>
      </c>
    </row>
    <row r="288" customFormat="false" ht="15" hidden="false" customHeight="false" outlineLevel="0" collapsed="false">
      <c r="BW288" s="16" t="str">
        <f aca="false">IF($R288="","",INDEX(Codes!$E$2:$E$108,MATCH("B1|"&amp;$R288,Codes!$A$2:$A$108,0)))</f>
        <v/>
      </c>
      <c r="BX288" s="16" t="str">
        <f aca="false">IF($Y288="","",INDEX(Codes!$E$2:$E$108,MATCH("B4|"&amp;$Y288,Codes!$A$2:$A$108,0)))</f>
        <v/>
      </c>
      <c r="BY288" s="16" t="str">
        <f aca="false">IF($I288="","",INDEX(Codes!$E$2:$E$108,MATCH("A7|"&amp;$I288,Codes!$A$2:$A$108,0)))</f>
        <v/>
      </c>
      <c r="BZ288" s="16" t="str">
        <f aca="false">IF($AU288="","",INDEX(Codes!$E$2:$E$108,MATCH("B8|"&amp;$AU288,Codes!$A$2:$A$108,0)))</f>
        <v/>
      </c>
      <c r="CA288" s="16" t="str">
        <f aca="false">IF($H288="","",INDEX(Codes!$E$2:$E$108,MATCH("A6|"&amp;$H288,Codes!$A$2:$A$108,0)))</f>
        <v/>
      </c>
      <c r="CB288" s="16" t="str">
        <f aca="false">IF($X288="","",IF($X288="phone",1,0))</f>
        <v/>
      </c>
      <c r="CC288" s="16" t="str">
        <f aca="false">IF($BC288="","",8-$BC288)</f>
        <v/>
      </c>
    </row>
    <row r="289" customFormat="false" ht="15" hidden="false" customHeight="false" outlineLevel="0" collapsed="false">
      <c r="BW289" s="16" t="str">
        <f aca="false">IF($R289="","",INDEX(Codes!$E$2:$E$108,MATCH("B1|"&amp;$R289,Codes!$A$2:$A$108,0)))</f>
        <v/>
      </c>
      <c r="BX289" s="16" t="str">
        <f aca="false">IF($Y289="","",INDEX(Codes!$E$2:$E$108,MATCH("B4|"&amp;$Y289,Codes!$A$2:$A$108,0)))</f>
        <v/>
      </c>
      <c r="BY289" s="16" t="str">
        <f aca="false">IF($I289="","",INDEX(Codes!$E$2:$E$108,MATCH("A7|"&amp;$I289,Codes!$A$2:$A$108,0)))</f>
        <v/>
      </c>
      <c r="BZ289" s="16" t="str">
        <f aca="false">IF($AU289="","",INDEX(Codes!$E$2:$E$108,MATCH("B8|"&amp;$AU289,Codes!$A$2:$A$108,0)))</f>
        <v/>
      </c>
      <c r="CA289" s="16" t="str">
        <f aca="false">IF($H289="","",INDEX(Codes!$E$2:$E$108,MATCH("A6|"&amp;$H289,Codes!$A$2:$A$108,0)))</f>
        <v/>
      </c>
      <c r="CB289" s="16" t="str">
        <f aca="false">IF($X289="","",IF($X289="phone",1,0))</f>
        <v/>
      </c>
      <c r="CC289" s="16" t="str">
        <f aca="false">IF($BC289="","",8-$BC289)</f>
        <v/>
      </c>
    </row>
    <row r="290" customFormat="false" ht="15" hidden="false" customHeight="false" outlineLevel="0" collapsed="false">
      <c r="BW290" s="16" t="str">
        <f aca="false">IF($R290="","",INDEX(Codes!$E$2:$E$108,MATCH("B1|"&amp;$R290,Codes!$A$2:$A$108,0)))</f>
        <v/>
      </c>
      <c r="BX290" s="16" t="str">
        <f aca="false">IF($Y290="","",INDEX(Codes!$E$2:$E$108,MATCH("B4|"&amp;$Y290,Codes!$A$2:$A$108,0)))</f>
        <v/>
      </c>
      <c r="BY290" s="16" t="str">
        <f aca="false">IF($I290="","",INDEX(Codes!$E$2:$E$108,MATCH("A7|"&amp;$I290,Codes!$A$2:$A$108,0)))</f>
        <v/>
      </c>
      <c r="BZ290" s="16" t="str">
        <f aca="false">IF($AU290="","",INDEX(Codes!$E$2:$E$108,MATCH("B8|"&amp;$AU290,Codes!$A$2:$A$108,0)))</f>
        <v/>
      </c>
      <c r="CA290" s="16" t="str">
        <f aca="false">IF($H290="","",INDEX(Codes!$E$2:$E$108,MATCH("A6|"&amp;$H290,Codes!$A$2:$A$108,0)))</f>
        <v/>
      </c>
      <c r="CB290" s="16" t="str">
        <f aca="false">IF($X290="","",IF($X290="phone",1,0))</f>
        <v/>
      </c>
      <c r="CC290" s="16" t="str">
        <f aca="false">IF($BC290="","",8-$BC290)</f>
        <v/>
      </c>
    </row>
    <row r="291" customFormat="false" ht="15" hidden="false" customHeight="false" outlineLevel="0" collapsed="false">
      <c r="BW291" s="16" t="str">
        <f aca="false">IF($R291="","",INDEX(Codes!$E$2:$E$108,MATCH("B1|"&amp;$R291,Codes!$A$2:$A$108,0)))</f>
        <v/>
      </c>
      <c r="BX291" s="16" t="str">
        <f aca="false">IF($Y291="","",INDEX(Codes!$E$2:$E$108,MATCH("B4|"&amp;$Y291,Codes!$A$2:$A$108,0)))</f>
        <v/>
      </c>
      <c r="BY291" s="16" t="str">
        <f aca="false">IF($I291="","",INDEX(Codes!$E$2:$E$108,MATCH("A7|"&amp;$I291,Codes!$A$2:$A$108,0)))</f>
        <v/>
      </c>
      <c r="BZ291" s="16" t="str">
        <f aca="false">IF($AU291="","",INDEX(Codes!$E$2:$E$108,MATCH("B8|"&amp;$AU291,Codes!$A$2:$A$108,0)))</f>
        <v/>
      </c>
      <c r="CA291" s="16" t="str">
        <f aca="false">IF($H291="","",INDEX(Codes!$E$2:$E$108,MATCH("A6|"&amp;$H291,Codes!$A$2:$A$108,0)))</f>
        <v/>
      </c>
      <c r="CB291" s="16" t="str">
        <f aca="false">IF($X291="","",IF($X291="phone",1,0))</f>
        <v/>
      </c>
      <c r="CC291" s="16" t="str">
        <f aca="false">IF($BC291="","",8-$BC291)</f>
        <v/>
      </c>
    </row>
    <row r="292" customFormat="false" ht="15" hidden="false" customHeight="false" outlineLevel="0" collapsed="false">
      <c r="BW292" s="16" t="str">
        <f aca="false">IF($R292="","",INDEX(Codes!$E$2:$E$108,MATCH("B1|"&amp;$R292,Codes!$A$2:$A$108,0)))</f>
        <v/>
      </c>
      <c r="BX292" s="16" t="str">
        <f aca="false">IF($Y292="","",INDEX(Codes!$E$2:$E$108,MATCH("B4|"&amp;$Y292,Codes!$A$2:$A$108,0)))</f>
        <v/>
      </c>
      <c r="BY292" s="16" t="str">
        <f aca="false">IF($I292="","",INDEX(Codes!$E$2:$E$108,MATCH("A7|"&amp;$I292,Codes!$A$2:$A$108,0)))</f>
        <v/>
      </c>
      <c r="BZ292" s="16" t="str">
        <f aca="false">IF($AU292="","",INDEX(Codes!$E$2:$E$108,MATCH("B8|"&amp;$AU292,Codes!$A$2:$A$108,0)))</f>
        <v/>
      </c>
      <c r="CA292" s="16" t="str">
        <f aca="false">IF($H292="","",INDEX(Codes!$E$2:$E$108,MATCH("A6|"&amp;$H292,Codes!$A$2:$A$108,0)))</f>
        <v/>
      </c>
      <c r="CB292" s="16" t="str">
        <f aca="false">IF($X292="","",IF($X292="phone",1,0))</f>
        <v/>
      </c>
      <c r="CC292" s="16" t="str">
        <f aca="false">IF($BC292="","",8-$BC292)</f>
        <v/>
      </c>
    </row>
    <row r="293" customFormat="false" ht="15" hidden="false" customHeight="false" outlineLevel="0" collapsed="false">
      <c r="BW293" s="16" t="str">
        <f aca="false">IF($R293="","",INDEX(Codes!$E$2:$E$108,MATCH("B1|"&amp;$R293,Codes!$A$2:$A$108,0)))</f>
        <v/>
      </c>
      <c r="BX293" s="16" t="str">
        <f aca="false">IF($Y293="","",INDEX(Codes!$E$2:$E$108,MATCH("B4|"&amp;$Y293,Codes!$A$2:$A$108,0)))</f>
        <v/>
      </c>
      <c r="BY293" s="16" t="str">
        <f aca="false">IF($I293="","",INDEX(Codes!$E$2:$E$108,MATCH("A7|"&amp;$I293,Codes!$A$2:$A$108,0)))</f>
        <v/>
      </c>
      <c r="BZ293" s="16" t="str">
        <f aca="false">IF($AU293="","",INDEX(Codes!$E$2:$E$108,MATCH("B8|"&amp;$AU293,Codes!$A$2:$A$108,0)))</f>
        <v/>
      </c>
      <c r="CA293" s="16" t="str">
        <f aca="false">IF($H293="","",INDEX(Codes!$E$2:$E$108,MATCH("A6|"&amp;$H293,Codes!$A$2:$A$108,0)))</f>
        <v/>
      </c>
      <c r="CB293" s="16" t="str">
        <f aca="false">IF($X293="","",IF($X293="phone",1,0))</f>
        <v/>
      </c>
      <c r="CC293" s="16" t="str">
        <f aca="false">IF($BC293="","",8-$BC293)</f>
        <v/>
      </c>
    </row>
    <row r="294" customFormat="false" ht="15" hidden="false" customHeight="false" outlineLevel="0" collapsed="false">
      <c r="BW294" s="16" t="str">
        <f aca="false">IF($R294="","",INDEX(Codes!$E$2:$E$108,MATCH("B1|"&amp;$R294,Codes!$A$2:$A$108,0)))</f>
        <v/>
      </c>
      <c r="BX294" s="16" t="str">
        <f aca="false">IF($Y294="","",INDEX(Codes!$E$2:$E$108,MATCH("B4|"&amp;$Y294,Codes!$A$2:$A$108,0)))</f>
        <v/>
      </c>
      <c r="BY294" s="16" t="str">
        <f aca="false">IF($I294="","",INDEX(Codes!$E$2:$E$108,MATCH("A7|"&amp;$I294,Codes!$A$2:$A$108,0)))</f>
        <v/>
      </c>
      <c r="BZ294" s="16" t="str">
        <f aca="false">IF($AU294="","",INDEX(Codes!$E$2:$E$108,MATCH("B8|"&amp;$AU294,Codes!$A$2:$A$108,0)))</f>
        <v/>
      </c>
      <c r="CA294" s="16" t="str">
        <f aca="false">IF($H294="","",INDEX(Codes!$E$2:$E$108,MATCH("A6|"&amp;$H294,Codes!$A$2:$A$108,0)))</f>
        <v/>
      </c>
      <c r="CB294" s="16" t="str">
        <f aca="false">IF($X294="","",IF($X294="phone",1,0))</f>
        <v/>
      </c>
      <c r="CC294" s="16" t="str">
        <f aca="false">IF($BC294="","",8-$BC294)</f>
        <v/>
      </c>
    </row>
    <row r="295" customFormat="false" ht="15" hidden="false" customHeight="false" outlineLevel="0" collapsed="false">
      <c r="BW295" s="16" t="str">
        <f aca="false">IF($R295="","",INDEX(Codes!$E$2:$E$108,MATCH("B1|"&amp;$R295,Codes!$A$2:$A$108,0)))</f>
        <v/>
      </c>
      <c r="BX295" s="16" t="str">
        <f aca="false">IF($Y295="","",INDEX(Codes!$E$2:$E$108,MATCH("B4|"&amp;$Y295,Codes!$A$2:$A$108,0)))</f>
        <v/>
      </c>
      <c r="BY295" s="16" t="str">
        <f aca="false">IF($I295="","",INDEX(Codes!$E$2:$E$108,MATCH("A7|"&amp;$I295,Codes!$A$2:$A$108,0)))</f>
        <v/>
      </c>
      <c r="BZ295" s="16" t="str">
        <f aca="false">IF($AU295="","",INDEX(Codes!$E$2:$E$108,MATCH("B8|"&amp;$AU295,Codes!$A$2:$A$108,0)))</f>
        <v/>
      </c>
      <c r="CA295" s="16" t="str">
        <f aca="false">IF($H295="","",INDEX(Codes!$E$2:$E$108,MATCH("A6|"&amp;$H295,Codes!$A$2:$A$108,0)))</f>
        <v/>
      </c>
      <c r="CB295" s="16" t="str">
        <f aca="false">IF($X295="","",IF($X295="phone",1,0))</f>
        <v/>
      </c>
      <c r="CC295" s="16" t="str">
        <f aca="false">IF($BC295="","",8-$BC295)</f>
        <v/>
      </c>
    </row>
    <row r="296" customFormat="false" ht="15" hidden="false" customHeight="false" outlineLevel="0" collapsed="false">
      <c r="BW296" s="16" t="str">
        <f aca="false">IF($R296="","",INDEX(Codes!$E$2:$E$108,MATCH("B1|"&amp;$R296,Codes!$A$2:$A$108,0)))</f>
        <v/>
      </c>
      <c r="BX296" s="16" t="str">
        <f aca="false">IF($Y296="","",INDEX(Codes!$E$2:$E$108,MATCH("B4|"&amp;$Y296,Codes!$A$2:$A$108,0)))</f>
        <v/>
      </c>
      <c r="BY296" s="16" t="str">
        <f aca="false">IF($I296="","",INDEX(Codes!$E$2:$E$108,MATCH("A7|"&amp;$I296,Codes!$A$2:$A$108,0)))</f>
        <v/>
      </c>
      <c r="BZ296" s="16" t="str">
        <f aca="false">IF($AU296="","",INDEX(Codes!$E$2:$E$108,MATCH("B8|"&amp;$AU296,Codes!$A$2:$A$108,0)))</f>
        <v/>
      </c>
      <c r="CA296" s="16" t="str">
        <f aca="false">IF($H296="","",INDEX(Codes!$E$2:$E$108,MATCH("A6|"&amp;$H296,Codes!$A$2:$A$108,0)))</f>
        <v/>
      </c>
      <c r="CB296" s="16" t="str">
        <f aca="false">IF($X296="","",IF($X296="phone",1,0))</f>
        <v/>
      </c>
      <c r="CC296" s="16" t="str">
        <f aca="false">IF($BC296="","",8-$BC296)</f>
        <v/>
      </c>
    </row>
    <row r="297" customFormat="false" ht="15" hidden="false" customHeight="false" outlineLevel="0" collapsed="false">
      <c r="BW297" s="16" t="str">
        <f aca="false">IF($R297="","",INDEX(Codes!$E$2:$E$108,MATCH("B1|"&amp;$R297,Codes!$A$2:$A$108,0)))</f>
        <v/>
      </c>
      <c r="BX297" s="16" t="str">
        <f aca="false">IF($Y297="","",INDEX(Codes!$E$2:$E$108,MATCH("B4|"&amp;$Y297,Codes!$A$2:$A$108,0)))</f>
        <v/>
      </c>
      <c r="BY297" s="16" t="str">
        <f aca="false">IF($I297="","",INDEX(Codes!$E$2:$E$108,MATCH("A7|"&amp;$I297,Codes!$A$2:$A$108,0)))</f>
        <v/>
      </c>
      <c r="BZ297" s="16" t="str">
        <f aca="false">IF($AU297="","",INDEX(Codes!$E$2:$E$108,MATCH("B8|"&amp;$AU297,Codes!$A$2:$A$108,0)))</f>
        <v/>
      </c>
      <c r="CA297" s="16" t="str">
        <f aca="false">IF($H297="","",INDEX(Codes!$E$2:$E$108,MATCH("A6|"&amp;$H297,Codes!$A$2:$A$108,0)))</f>
        <v/>
      </c>
      <c r="CB297" s="16" t="str">
        <f aca="false">IF($X297="","",IF($X297="phone",1,0))</f>
        <v/>
      </c>
      <c r="CC297" s="16" t="str">
        <f aca="false">IF($BC297="","",8-$BC297)</f>
        <v/>
      </c>
    </row>
    <row r="298" customFormat="false" ht="15" hidden="false" customHeight="false" outlineLevel="0" collapsed="false">
      <c r="BW298" s="16" t="str">
        <f aca="false">IF($R298="","",INDEX(Codes!$E$2:$E$108,MATCH("B1|"&amp;$R298,Codes!$A$2:$A$108,0)))</f>
        <v/>
      </c>
      <c r="BX298" s="16" t="str">
        <f aca="false">IF($Y298="","",INDEX(Codes!$E$2:$E$108,MATCH("B4|"&amp;$Y298,Codes!$A$2:$A$108,0)))</f>
        <v/>
      </c>
      <c r="BY298" s="16" t="str">
        <f aca="false">IF($I298="","",INDEX(Codes!$E$2:$E$108,MATCH("A7|"&amp;$I298,Codes!$A$2:$A$108,0)))</f>
        <v/>
      </c>
      <c r="BZ298" s="16" t="str">
        <f aca="false">IF($AU298="","",INDEX(Codes!$E$2:$E$108,MATCH("B8|"&amp;$AU298,Codes!$A$2:$A$108,0)))</f>
        <v/>
      </c>
      <c r="CA298" s="16" t="str">
        <f aca="false">IF($H298="","",INDEX(Codes!$E$2:$E$108,MATCH("A6|"&amp;$H298,Codes!$A$2:$A$108,0)))</f>
        <v/>
      </c>
      <c r="CB298" s="16" t="str">
        <f aca="false">IF($X298="","",IF($X298="phone",1,0))</f>
        <v/>
      </c>
      <c r="CC298" s="16" t="str">
        <f aca="false">IF($BC298="","",8-$BC298)</f>
        <v/>
      </c>
    </row>
    <row r="299" customFormat="false" ht="15" hidden="false" customHeight="false" outlineLevel="0" collapsed="false">
      <c r="BW299" s="16" t="str">
        <f aca="false">IF($R299="","",INDEX(Codes!$E$2:$E$108,MATCH("B1|"&amp;$R299,Codes!$A$2:$A$108,0)))</f>
        <v/>
      </c>
      <c r="BX299" s="16" t="str">
        <f aca="false">IF($Y299="","",INDEX(Codes!$E$2:$E$108,MATCH("B4|"&amp;$Y299,Codes!$A$2:$A$108,0)))</f>
        <v/>
      </c>
      <c r="BY299" s="16" t="str">
        <f aca="false">IF($I299="","",INDEX(Codes!$E$2:$E$108,MATCH("A7|"&amp;$I299,Codes!$A$2:$A$108,0)))</f>
        <v/>
      </c>
      <c r="BZ299" s="16" t="str">
        <f aca="false">IF($AU299="","",INDEX(Codes!$E$2:$E$108,MATCH("B8|"&amp;$AU299,Codes!$A$2:$A$108,0)))</f>
        <v/>
      </c>
      <c r="CA299" s="16" t="str">
        <f aca="false">IF($H299="","",INDEX(Codes!$E$2:$E$108,MATCH("A6|"&amp;$H299,Codes!$A$2:$A$108,0)))</f>
        <v/>
      </c>
      <c r="CB299" s="16" t="str">
        <f aca="false">IF($X299="","",IF($X299="phone",1,0))</f>
        <v/>
      </c>
      <c r="CC299" s="16" t="str">
        <f aca="false">IF($BC299="","",8-$BC299)</f>
        <v/>
      </c>
    </row>
    <row r="300" customFormat="false" ht="15" hidden="false" customHeight="false" outlineLevel="0" collapsed="false">
      <c r="BW300" s="16" t="str">
        <f aca="false">IF($R300="","",INDEX(Codes!$E$2:$E$108,MATCH("B1|"&amp;$R300,Codes!$A$2:$A$108,0)))</f>
        <v/>
      </c>
      <c r="BX300" s="16" t="str">
        <f aca="false">IF($Y300="","",INDEX(Codes!$E$2:$E$108,MATCH("B4|"&amp;$Y300,Codes!$A$2:$A$108,0)))</f>
        <v/>
      </c>
      <c r="BY300" s="16" t="str">
        <f aca="false">IF($I300="","",INDEX(Codes!$E$2:$E$108,MATCH("A7|"&amp;$I300,Codes!$A$2:$A$108,0)))</f>
        <v/>
      </c>
      <c r="BZ300" s="16" t="str">
        <f aca="false">IF($AU300="","",INDEX(Codes!$E$2:$E$108,MATCH("B8|"&amp;$AU300,Codes!$A$2:$A$108,0)))</f>
        <v/>
      </c>
      <c r="CA300" s="16" t="str">
        <f aca="false">IF($H300="","",INDEX(Codes!$E$2:$E$108,MATCH("A6|"&amp;$H300,Codes!$A$2:$A$108,0)))</f>
        <v/>
      </c>
      <c r="CB300" s="16" t="str">
        <f aca="false">IF($X300="","",IF($X300="phone",1,0))</f>
        <v/>
      </c>
      <c r="CC300" s="16" t="str">
        <f aca="false">IF($BC300="","",8-$BC300)</f>
        <v/>
      </c>
    </row>
    <row r="301" customFormat="false" ht="15" hidden="false" customHeight="false" outlineLevel="0" collapsed="false">
      <c r="BW301" s="16" t="str">
        <f aca="false">IF($R301="","",INDEX(Codes!$E$2:$E$108,MATCH("B1|"&amp;$R301,Codes!$A$2:$A$108,0)))</f>
        <v/>
      </c>
      <c r="BX301" s="16" t="str">
        <f aca="false">IF($Y301="","",INDEX(Codes!$E$2:$E$108,MATCH("B4|"&amp;$Y301,Codes!$A$2:$A$108,0)))</f>
        <v/>
      </c>
      <c r="BY301" s="16" t="str">
        <f aca="false">IF($I301="","",INDEX(Codes!$E$2:$E$108,MATCH("A7|"&amp;$I301,Codes!$A$2:$A$108,0)))</f>
        <v/>
      </c>
      <c r="BZ301" s="16" t="str">
        <f aca="false">IF($AU301="","",INDEX(Codes!$E$2:$E$108,MATCH("B8|"&amp;$AU301,Codes!$A$2:$A$108,0)))</f>
        <v/>
      </c>
      <c r="CA301" s="16" t="str">
        <f aca="false">IF($H301="","",INDEX(Codes!$E$2:$E$108,MATCH("A6|"&amp;$H301,Codes!$A$2:$A$108,0)))</f>
        <v/>
      </c>
      <c r="CB301" s="16" t="str">
        <f aca="false">IF($X301="","",IF($X301="phone",1,0))</f>
        <v/>
      </c>
      <c r="CC301" s="16" t="str">
        <f aca="false">IF($BC301="","",8-$BC301)</f>
        <v/>
      </c>
    </row>
    <row r="302" customFormat="false" ht="15" hidden="false" customHeight="false" outlineLevel="0" collapsed="false">
      <c r="BW302" s="16" t="str">
        <f aca="false">IF($R302="","",INDEX(Codes!$E$2:$E$108,MATCH("B1|"&amp;$R302,Codes!$A$2:$A$108,0)))</f>
        <v/>
      </c>
      <c r="BX302" s="16" t="str">
        <f aca="false">IF($Y302="","",INDEX(Codes!$E$2:$E$108,MATCH("B4|"&amp;$Y302,Codes!$A$2:$A$108,0)))</f>
        <v/>
      </c>
      <c r="BY302" s="16" t="str">
        <f aca="false">IF($I302="","",INDEX(Codes!$E$2:$E$108,MATCH("A7|"&amp;$I302,Codes!$A$2:$A$108,0)))</f>
        <v/>
      </c>
      <c r="BZ302" s="16" t="str">
        <f aca="false">IF($AU302="","",INDEX(Codes!$E$2:$E$108,MATCH("B8|"&amp;$AU302,Codes!$A$2:$A$108,0)))</f>
        <v/>
      </c>
      <c r="CA302" s="16" t="str">
        <f aca="false">IF($H302="","",INDEX(Codes!$E$2:$E$108,MATCH("A6|"&amp;$H302,Codes!$A$2:$A$108,0)))</f>
        <v/>
      </c>
      <c r="CB302" s="16" t="str">
        <f aca="false">IF($X302="","",IF($X302="phone",1,0))</f>
        <v/>
      </c>
      <c r="CC302" s="16" t="str">
        <f aca="false">IF($BC302="","",8-$BC302)</f>
        <v/>
      </c>
    </row>
    <row r="303" customFormat="false" ht="15" hidden="false" customHeight="false" outlineLevel="0" collapsed="false">
      <c r="BW303" s="16" t="str">
        <f aca="false">IF($R303="","",INDEX(Codes!$E$2:$E$108,MATCH("B1|"&amp;$R303,Codes!$A$2:$A$108,0)))</f>
        <v/>
      </c>
      <c r="BX303" s="16" t="str">
        <f aca="false">IF($Y303="","",INDEX(Codes!$E$2:$E$108,MATCH("B4|"&amp;$Y303,Codes!$A$2:$A$108,0)))</f>
        <v/>
      </c>
      <c r="BY303" s="16" t="str">
        <f aca="false">IF($I303="","",INDEX(Codes!$E$2:$E$108,MATCH("A7|"&amp;$I303,Codes!$A$2:$A$108,0)))</f>
        <v/>
      </c>
      <c r="BZ303" s="16" t="str">
        <f aca="false">IF($AU303="","",INDEX(Codes!$E$2:$E$108,MATCH("B8|"&amp;$AU303,Codes!$A$2:$A$108,0)))</f>
        <v/>
      </c>
      <c r="CA303" s="16" t="str">
        <f aca="false">IF($H303="","",INDEX(Codes!$E$2:$E$108,MATCH("A6|"&amp;$H303,Codes!$A$2:$A$108,0)))</f>
        <v/>
      </c>
      <c r="CB303" s="16" t="str">
        <f aca="false">IF($X303="","",IF($X303="phone",1,0))</f>
        <v/>
      </c>
      <c r="CC303" s="16" t="str">
        <f aca="false">IF($BC303="","",8-$BC303)</f>
        <v/>
      </c>
    </row>
    <row r="304" customFormat="false" ht="15" hidden="false" customHeight="false" outlineLevel="0" collapsed="false">
      <c r="BW304" s="16" t="str">
        <f aca="false">IF($R304="","",INDEX(Codes!$E$2:$E$108,MATCH("B1|"&amp;$R304,Codes!$A$2:$A$108,0)))</f>
        <v/>
      </c>
      <c r="BX304" s="16" t="str">
        <f aca="false">IF($Y304="","",INDEX(Codes!$E$2:$E$108,MATCH("B4|"&amp;$Y304,Codes!$A$2:$A$108,0)))</f>
        <v/>
      </c>
      <c r="BY304" s="16" t="str">
        <f aca="false">IF($I304="","",INDEX(Codes!$E$2:$E$108,MATCH("A7|"&amp;$I304,Codes!$A$2:$A$108,0)))</f>
        <v/>
      </c>
      <c r="BZ304" s="16" t="str">
        <f aca="false">IF($AU304="","",INDEX(Codes!$E$2:$E$108,MATCH("B8|"&amp;$AU304,Codes!$A$2:$A$108,0)))</f>
        <v/>
      </c>
      <c r="CA304" s="16" t="str">
        <f aca="false">IF($H304="","",INDEX(Codes!$E$2:$E$108,MATCH("A6|"&amp;$H304,Codes!$A$2:$A$108,0)))</f>
        <v/>
      </c>
      <c r="CB304" s="16" t="str">
        <f aca="false">IF($X304="","",IF($X304="phone",1,0))</f>
        <v/>
      </c>
      <c r="CC304" s="16" t="str">
        <f aca="false">IF($BC304="","",8-$BC304)</f>
        <v/>
      </c>
    </row>
    <row r="305" customFormat="false" ht="15" hidden="false" customHeight="false" outlineLevel="0" collapsed="false">
      <c r="BW305" s="16" t="str">
        <f aca="false">IF($R305="","",INDEX(Codes!$E$2:$E$108,MATCH("B1|"&amp;$R305,Codes!$A$2:$A$108,0)))</f>
        <v/>
      </c>
      <c r="BX305" s="16" t="str">
        <f aca="false">IF($Y305="","",INDEX(Codes!$E$2:$E$108,MATCH("B4|"&amp;$Y305,Codes!$A$2:$A$108,0)))</f>
        <v/>
      </c>
      <c r="BY305" s="16" t="str">
        <f aca="false">IF($I305="","",INDEX(Codes!$E$2:$E$108,MATCH("A7|"&amp;$I305,Codes!$A$2:$A$108,0)))</f>
        <v/>
      </c>
      <c r="BZ305" s="16" t="str">
        <f aca="false">IF($AU305="","",INDEX(Codes!$E$2:$E$108,MATCH("B8|"&amp;$AU305,Codes!$A$2:$A$108,0)))</f>
        <v/>
      </c>
      <c r="CA305" s="16" t="str">
        <f aca="false">IF($H305="","",INDEX(Codes!$E$2:$E$108,MATCH("A6|"&amp;$H305,Codes!$A$2:$A$108,0)))</f>
        <v/>
      </c>
      <c r="CB305" s="16" t="str">
        <f aca="false">IF($X305="","",IF($X305="phone",1,0))</f>
        <v/>
      </c>
      <c r="CC305" s="16" t="str">
        <f aca="false">IF($BC305="","",8-$BC305)</f>
        <v/>
      </c>
    </row>
    <row r="306" customFormat="false" ht="15" hidden="false" customHeight="false" outlineLevel="0" collapsed="false">
      <c r="BW306" s="16" t="str">
        <f aca="false">IF($R306="","",INDEX(Codes!$E$2:$E$108,MATCH("B1|"&amp;$R306,Codes!$A$2:$A$108,0)))</f>
        <v/>
      </c>
      <c r="BX306" s="16" t="str">
        <f aca="false">IF($Y306="","",INDEX(Codes!$E$2:$E$108,MATCH("B4|"&amp;$Y306,Codes!$A$2:$A$108,0)))</f>
        <v/>
      </c>
      <c r="BY306" s="16" t="str">
        <f aca="false">IF($I306="","",INDEX(Codes!$E$2:$E$108,MATCH("A7|"&amp;$I306,Codes!$A$2:$A$108,0)))</f>
        <v/>
      </c>
      <c r="BZ306" s="16" t="str">
        <f aca="false">IF($AU306="","",INDEX(Codes!$E$2:$E$108,MATCH("B8|"&amp;$AU306,Codes!$A$2:$A$108,0)))</f>
        <v/>
      </c>
      <c r="CA306" s="16" t="str">
        <f aca="false">IF($H306="","",INDEX(Codes!$E$2:$E$108,MATCH("A6|"&amp;$H306,Codes!$A$2:$A$108,0)))</f>
        <v/>
      </c>
      <c r="CB306" s="16" t="str">
        <f aca="false">IF($X306="","",IF($X306="phone",1,0))</f>
        <v/>
      </c>
      <c r="CC306" s="16" t="str">
        <f aca="false">IF($BC306="","",8-$BC306)</f>
        <v/>
      </c>
    </row>
    <row r="307" customFormat="false" ht="15" hidden="false" customHeight="false" outlineLevel="0" collapsed="false">
      <c r="BW307" s="16" t="str">
        <f aca="false">IF($R307="","",INDEX(Codes!$E$2:$E$108,MATCH("B1|"&amp;$R307,Codes!$A$2:$A$108,0)))</f>
        <v/>
      </c>
      <c r="BX307" s="16" t="str">
        <f aca="false">IF($Y307="","",INDEX(Codes!$E$2:$E$108,MATCH("B4|"&amp;$Y307,Codes!$A$2:$A$108,0)))</f>
        <v/>
      </c>
      <c r="BY307" s="16" t="str">
        <f aca="false">IF($I307="","",INDEX(Codes!$E$2:$E$108,MATCH("A7|"&amp;$I307,Codes!$A$2:$A$108,0)))</f>
        <v/>
      </c>
      <c r="BZ307" s="16" t="str">
        <f aca="false">IF($AU307="","",INDEX(Codes!$E$2:$E$108,MATCH("B8|"&amp;$AU307,Codes!$A$2:$A$108,0)))</f>
        <v/>
      </c>
      <c r="CA307" s="16" t="str">
        <f aca="false">IF($H307="","",INDEX(Codes!$E$2:$E$108,MATCH("A6|"&amp;$H307,Codes!$A$2:$A$108,0)))</f>
        <v/>
      </c>
      <c r="CB307" s="16" t="str">
        <f aca="false">IF($X307="","",IF($X307="phone",1,0))</f>
        <v/>
      </c>
      <c r="CC307" s="16" t="str">
        <f aca="false">IF($BC307="","",8-$BC307)</f>
        <v/>
      </c>
    </row>
    <row r="308" customFormat="false" ht="15" hidden="false" customHeight="false" outlineLevel="0" collapsed="false">
      <c r="BW308" s="16" t="str">
        <f aca="false">IF($R308="","",INDEX(Codes!$E$2:$E$108,MATCH("B1|"&amp;$R308,Codes!$A$2:$A$108,0)))</f>
        <v/>
      </c>
      <c r="BX308" s="16" t="str">
        <f aca="false">IF($Y308="","",INDEX(Codes!$E$2:$E$108,MATCH("B4|"&amp;$Y308,Codes!$A$2:$A$108,0)))</f>
        <v/>
      </c>
      <c r="BY308" s="16" t="str">
        <f aca="false">IF($I308="","",INDEX(Codes!$E$2:$E$108,MATCH("A7|"&amp;$I308,Codes!$A$2:$A$108,0)))</f>
        <v/>
      </c>
      <c r="BZ308" s="16" t="str">
        <f aca="false">IF($AU308="","",INDEX(Codes!$E$2:$E$108,MATCH("B8|"&amp;$AU308,Codes!$A$2:$A$108,0)))</f>
        <v/>
      </c>
      <c r="CA308" s="16" t="str">
        <f aca="false">IF($H308="","",INDEX(Codes!$E$2:$E$108,MATCH("A6|"&amp;$H308,Codes!$A$2:$A$108,0)))</f>
        <v/>
      </c>
      <c r="CB308" s="16" t="str">
        <f aca="false">IF($X308="","",IF($X308="phone",1,0))</f>
        <v/>
      </c>
      <c r="CC308" s="16" t="str">
        <f aca="false">IF($BC308="","",8-$BC308)</f>
        <v/>
      </c>
    </row>
    <row r="309" customFormat="false" ht="15" hidden="false" customHeight="false" outlineLevel="0" collapsed="false">
      <c r="BW309" s="16" t="str">
        <f aca="false">IF($R309="","",INDEX(Codes!$E$2:$E$108,MATCH("B1|"&amp;$R309,Codes!$A$2:$A$108,0)))</f>
        <v/>
      </c>
      <c r="BX309" s="16" t="str">
        <f aca="false">IF($Y309="","",INDEX(Codes!$E$2:$E$108,MATCH("B4|"&amp;$Y309,Codes!$A$2:$A$108,0)))</f>
        <v/>
      </c>
      <c r="BY309" s="16" t="str">
        <f aca="false">IF($I309="","",INDEX(Codes!$E$2:$E$108,MATCH("A7|"&amp;$I309,Codes!$A$2:$A$108,0)))</f>
        <v/>
      </c>
      <c r="BZ309" s="16" t="str">
        <f aca="false">IF($AU309="","",INDEX(Codes!$E$2:$E$108,MATCH("B8|"&amp;$AU309,Codes!$A$2:$A$108,0)))</f>
        <v/>
      </c>
      <c r="CA309" s="16" t="str">
        <f aca="false">IF($H309="","",INDEX(Codes!$E$2:$E$108,MATCH("A6|"&amp;$H309,Codes!$A$2:$A$108,0)))</f>
        <v/>
      </c>
      <c r="CB309" s="16" t="str">
        <f aca="false">IF($X309="","",IF($X309="phone",1,0))</f>
        <v/>
      </c>
      <c r="CC309" s="16" t="str">
        <f aca="false">IF($BC309="","",8-$BC309)</f>
        <v/>
      </c>
    </row>
    <row r="310" customFormat="false" ht="15" hidden="false" customHeight="false" outlineLevel="0" collapsed="false">
      <c r="BW310" s="16" t="str">
        <f aca="false">IF($R310="","",INDEX(Codes!$E$2:$E$108,MATCH("B1|"&amp;$R310,Codes!$A$2:$A$108,0)))</f>
        <v/>
      </c>
      <c r="BX310" s="16" t="str">
        <f aca="false">IF($Y310="","",INDEX(Codes!$E$2:$E$108,MATCH("B4|"&amp;$Y310,Codes!$A$2:$A$108,0)))</f>
        <v/>
      </c>
      <c r="BY310" s="16" t="str">
        <f aca="false">IF($I310="","",INDEX(Codes!$E$2:$E$108,MATCH("A7|"&amp;$I310,Codes!$A$2:$A$108,0)))</f>
        <v/>
      </c>
      <c r="BZ310" s="16" t="str">
        <f aca="false">IF($AU310="","",INDEX(Codes!$E$2:$E$108,MATCH("B8|"&amp;$AU310,Codes!$A$2:$A$108,0)))</f>
        <v/>
      </c>
      <c r="CA310" s="16" t="str">
        <f aca="false">IF($H310="","",INDEX(Codes!$E$2:$E$108,MATCH("A6|"&amp;$H310,Codes!$A$2:$A$108,0)))</f>
        <v/>
      </c>
      <c r="CB310" s="16" t="str">
        <f aca="false">IF($X310="","",IF($X310="phone",1,0))</f>
        <v/>
      </c>
      <c r="CC310" s="16" t="str">
        <f aca="false">IF($BC310="","",8-$BC310)</f>
        <v/>
      </c>
    </row>
    <row r="311" customFormat="false" ht="15" hidden="false" customHeight="false" outlineLevel="0" collapsed="false">
      <c r="BW311" s="16" t="str">
        <f aca="false">IF($R311="","",INDEX(Codes!$E$2:$E$108,MATCH("B1|"&amp;$R311,Codes!$A$2:$A$108,0)))</f>
        <v/>
      </c>
      <c r="BX311" s="16" t="str">
        <f aca="false">IF($Y311="","",INDEX(Codes!$E$2:$E$108,MATCH("B4|"&amp;$Y311,Codes!$A$2:$A$108,0)))</f>
        <v/>
      </c>
      <c r="BY311" s="16" t="str">
        <f aca="false">IF($I311="","",INDEX(Codes!$E$2:$E$108,MATCH("A7|"&amp;$I311,Codes!$A$2:$A$108,0)))</f>
        <v/>
      </c>
      <c r="BZ311" s="16" t="str">
        <f aca="false">IF($AU311="","",INDEX(Codes!$E$2:$E$108,MATCH("B8|"&amp;$AU311,Codes!$A$2:$A$108,0)))</f>
        <v/>
      </c>
      <c r="CA311" s="16" t="str">
        <f aca="false">IF($H311="","",INDEX(Codes!$E$2:$E$108,MATCH("A6|"&amp;$H311,Codes!$A$2:$A$108,0)))</f>
        <v/>
      </c>
      <c r="CB311" s="16" t="str">
        <f aca="false">IF($X311="","",IF($X311="phone",1,0))</f>
        <v/>
      </c>
      <c r="CC311" s="16" t="str">
        <f aca="false">IF($BC311="","",8-$BC311)</f>
        <v/>
      </c>
    </row>
    <row r="312" customFormat="false" ht="15" hidden="false" customHeight="false" outlineLevel="0" collapsed="false">
      <c r="BW312" s="16" t="str">
        <f aca="false">IF($R312="","",INDEX(Codes!$E$2:$E$108,MATCH("B1|"&amp;$R312,Codes!$A$2:$A$108,0)))</f>
        <v/>
      </c>
      <c r="BX312" s="16" t="str">
        <f aca="false">IF($Y312="","",INDEX(Codes!$E$2:$E$108,MATCH("B4|"&amp;$Y312,Codes!$A$2:$A$108,0)))</f>
        <v/>
      </c>
      <c r="BY312" s="16" t="str">
        <f aca="false">IF($I312="","",INDEX(Codes!$E$2:$E$108,MATCH("A7|"&amp;$I312,Codes!$A$2:$A$108,0)))</f>
        <v/>
      </c>
      <c r="BZ312" s="16" t="str">
        <f aca="false">IF($AU312="","",INDEX(Codes!$E$2:$E$108,MATCH("B8|"&amp;$AU312,Codes!$A$2:$A$108,0)))</f>
        <v/>
      </c>
      <c r="CA312" s="16" t="str">
        <f aca="false">IF($H312="","",INDEX(Codes!$E$2:$E$108,MATCH("A6|"&amp;$H312,Codes!$A$2:$A$108,0)))</f>
        <v/>
      </c>
      <c r="CB312" s="16" t="str">
        <f aca="false">IF($X312="","",IF($X312="phone",1,0))</f>
        <v/>
      </c>
      <c r="CC312" s="16" t="str">
        <f aca="false">IF($BC312="","",8-$BC312)</f>
        <v/>
      </c>
    </row>
    <row r="313" customFormat="false" ht="15" hidden="false" customHeight="false" outlineLevel="0" collapsed="false">
      <c r="BW313" s="16" t="str">
        <f aca="false">IF($R313="","",INDEX(Codes!$E$2:$E$108,MATCH("B1|"&amp;$R313,Codes!$A$2:$A$108,0)))</f>
        <v/>
      </c>
      <c r="BX313" s="16" t="str">
        <f aca="false">IF($Y313="","",INDEX(Codes!$E$2:$E$108,MATCH("B4|"&amp;$Y313,Codes!$A$2:$A$108,0)))</f>
        <v/>
      </c>
      <c r="BY313" s="16" t="str">
        <f aca="false">IF($I313="","",INDEX(Codes!$E$2:$E$108,MATCH("A7|"&amp;$I313,Codes!$A$2:$A$108,0)))</f>
        <v/>
      </c>
      <c r="BZ313" s="16" t="str">
        <f aca="false">IF($AU313="","",INDEX(Codes!$E$2:$E$108,MATCH("B8|"&amp;$AU313,Codes!$A$2:$A$108,0)))</f>
        <v/>
      </c>
      <c r="CA313" s="16" t="str">
        <f aca="false">IF($H313="","",INDEX(Codes!$E$2:$E$108,MATCH("A6|"&amp;$H313,Codes!$A$2:$A$108,0)))</f>
        <v/>
      </c>
      <c r="CB313" s="16" t="str">
        <f aca="false">IF($X313="","",IF($X313="phone",1,0))</f>
        <v/>
      </c>
      <c r="CC313" s="16" t="str">
        <f aca="false">IF($BC313="","",8-$BC313)</f>
        <v/>
      </c>
    </row>
    <row r="314" customFormat="false" ht="15" hidden="false" customHeight="false" outlineLevel="0" collapsed="false">
      <c r="BW314" s="16" t="str">
        <f aca="false">IF($R314="","",INDEX(Codes!$E$2:$E$108,MATCH("B1|"&amp;$R314,Codes!$A$2:$A$108,0)))</f>
        <v/>
      </c>
      <c r="BX314" s="16" t="str">
        <f aca="false">IF($Y314="","",INDEX(Codes!$E$2:$E$108,MATCH("B4|"&amp;$Y314,Codes!$A$2:$A$108,0)))</f>
        <v/>
      </c>
      <c r="BY314" s="16" t="str">
        <f aca="false">IF($I314="","",INDEX(Codes!$E$2:$E$108,MATCH("A7|"&amp;$I314,Codes!$A$2:$A$108,0)))</f>
        <v/>
      </c>
      <c r="BZ314" s="16" t="str">
        <f aca="false">IF($AU314="","",INDEX(Codes!$E$2:$E$108,MATCH("B8|"&amp;$AU314,Codes!$A$2:$A$108,0)))</f>
        <v/>
      </c>
      <c r="CA314" s="16" t="str">
        <f aca="false">IF($H314="","",INDEX(Codes!$E$2:$E$108,MATCH("A6|"&amp;$H314,Codes!$A$2:$A$108,0)))</f>
        <v/>
      </c>
      <c r="CB314" s="16" t="str">
        <f aca="false">IF($X314="","",IF($X314="phone",1,0))</f>
        <v/>
      </c>
      <c r="CC314" s="16" t="str">
        <f aca="false">IF($BC314="","",8-$BC314)</f>
        <v/>
      </c>
    </row>
    <row r="315" customFormat="false" ht="15" hidden="false" customHeight="false" outlineLevel="0" collapsed="false">
      <c r="BW315" s="16" t="str">
        <f aca="false">IF($R315="","",INDEX(Codes!$E$2:$E$108,MATCH("B1|"&amp;$R315,Codes!$A$2:$A$108,0)))</f>
        <v/>
      </c>
      <c r="BX315" s="16" t="str">
        <f aca="false">IF($Y315="","",INDEX(Codes!$E$2:$E$108,MATCH("B4|"&amp;$Y315,Codes!$A$2:$A$108,0)))</f>
        <v/>
      </c>
      <c r="BY315" s="16" t="str">
        <f aca="false">IF($I315="","",INDEX(Codes!$E$2:$E$108,MATCH("A7|"&amp;$I315,Codes!$A$2:$A$108,0)))</f>
        <v/>
      </c>
      <c r="BZ315" s="16" t="str">
        <f aca="false">IF($AU315="","",INDEX(Codes!$E$2:$E$108,MATCH("B8|"&amp;$AU315,Codes!$A$2:$A$108,0)))</f>
        <v/>
      </c>
      <c r="CA315" s="16" t="str">
        <f aca="false">IF($H315="","",INDEX(Codes!$E$2:$E$108,MATCH("A6|"&amp;$H315,Codes!$A$2:$A$108,0)))</f>
        <v/>
      </c>
      <c r="CB315" s="16" t="str">
        <f aca="false">IF($X315="","",IF($X315="phone",1,0))</f>
        <v/>
      </c>
      <c r="CC315" s="16" t="str">
        <f aca="false">IF($BC315="","",8-$BC315)</f>
        <v/>
      </c>
    </row>
    <row r="316" customFormat="false" ht="15" hidden="false" customHeight="false" outlineLevel="0" collapsed="false">
      <c r="BW316" s="16" t="str">
        <f aca="false">IF($R316="","",INDEX(Codes!$E$2:$E$108,MATCH("B1|"&amp;$R316,Codes!$A$2:$A$108,0)))</f>
        <v/>
      </c>
      <c r="BX316" s="16" t="str">
        <f aca="false">IF($Y316="","",INDEX(Codes!$E$2:$E$108,MATCH("B4|"&amp;$Y316,Codes!$A$2:$A$108,0)))</f>
        <v/>
      </c>
      <c r="BY316" s="16" t="str">
        <f aca="false">IF($I316="","",INDEX(Codes!$E$2:$E$108,MATCH("A7|"&amp;$I316,Codes!$A$2:$A$108,0)))</f>
        <v/>
      </c>
      <c r="BZ316" s="16" t="str">
        <f aca="false">IF($AU316="","",INDEX(Codes!$E$2:$E$108,MATCH("B8|"&amp;$AU316,Codes!$A$2:$A$108,0)))</f>
        <v/>
      </c>
      <c r="CA316" s="16" t="str">
        <f aca="false">IF($H316="","",INDEX(Codes!$E$2:$E$108,MATCH("A6|"&amp;$H316,Codes!$A$2:$A$108,0)))</f>
        <v/>
      </c>
      <c r="CB316" s="16" t="str">
        <f aca="false">IF($X316="","",IF($X316="phone",1,0))</f>
        <v/>
      </c>
      <c r="CC316" s="16" t="str">
        <f aca="false">IF($BC316="","",8-$BC316)</f>
        <v/>
      </c>
    </row>
    <row r="317" customFormat="false" ht="15" hidden="false" customHeight="false" outlineLevel="0" collapsed="false">
      <c r="BW317" s="16" t="str">
        <f aca="false">IF($R317="","",INDEX(Codes!$E$2:$E$108,MATCH("B1|"&amp;$R317,Codes!$A$2:$A$108,0)))</f>
        <v/>
      </c>
      <c r="BX317" s="16" t="str">
        <f aca="false">IF($Y317="","",INDEX(Codes!$E$2:$E$108,MATCH("B4|"&amp;$Y317,Codes!$A$2:$A$108,0)))</f>
        <v/>
      </c>
      <c r="BY317" s="16" t="str">
        <f aca="false">IF($I317="","",INDEX(Codes!$E$2:$E$108,MATCH("A7|"&amp;$I317,Codes!$A$2:$A$108,0)))</f>
        <v/>
      </c>
      <c r="BZ317" s="16" t="str">
        <f aca="false">IF($AU317="","",INDEX(Codes!$E$2:$E$108,MATCH("B8|"&amp;$AU317,Codes!$A$2:$A$108,0)))</f>
        <v/>
      </c>
      <c r="CA317" s="16" t="str">
        <f aca="false">IF($H317="","",INDEX(Codes!$E$2:$E$108,MATCH("A6|"&amp;$H317,Codes!$A$2:$A$108,0)))</f>
        <v/>
      </c>
      <c r="CB317" s="16" t="str">
        <f aca="false">IF($X317="","",IF($X317="phone",1,0))</f>
        <v/>
      </c>
      <c r="CC317" s="16" t="str">
        <f aca="false">IF($BC317="","",8-$BC317)</f>
        <v/>
      </c>
    </row>
    <row r="318" customFormat="false" ht="15" hidden="false" customHeight="false" outlineLevel="0" collapsed="false">
      <c r="BW318" s="16" t="str">
        <f aca="false">IF($R318="","",INDEX(Codes!$E$2:$E$108,MATCH("B1|"&amp;$R318,Codes!$A$2:$A$108,0)))</f>
        <v/>
      </c>
      <c r="BX318" s="16" t="str">
        <f aca="false">IF($Y318="","",INDEX(Codes!$E$2:$E$108,MATCH("B4|"&amp;$Y318,Codes!$A$2:$A$108,0)))</f>
        <v/>
      </c>
      <c r="BY318" s="16" t="str">
        <f aca="false">IF($I318="","",INDEX(Codes!$E$2:$E$108,MATCH("A7|"&amp;$I318,Codes!$A$2:$A$108,0)))</f>
        <v/>
      </c>
      <c r="BZ318" s="16" t="str">
        <f aca="false">IF($AU318="","",INDEX(Codes!$E$2:$E$108,MATCH("B8|"&amp;$AU318,Codes!$A$2:$A$108,0)))</f>
        <v/>
      </c>
      <c r="CA318" s="16" t="str">
        <f aca="false">IF($H318="","",INDEX(Codes!$E$2:$E$108,MATCH("A6|"&amp;$H318,Codes!$A$2:$A$108,0)))</f>
        <v/>
      </c>
      <c r="CB318" s="16" t="str">
        <f aca="false">IF($X318="","",IF($X318="phone",1,0))</f>
        <v/>
      </c>
      <c r="CC318" s="16" t="str">
        <f aca="false">IF($BC318="","",8-$BC318)</f>
        <v/>
      </c>
    </row>
    <row r="319" customFormat="false" ht="15" hidden="false" customHeight="false" outlineLevel="0" collapsed="false">
      <c r="BW319" s="16" t="str">
        <f aca="false">IF($R319="","",INDEX(Codes!$E$2:$E$108,MATCH("B1|"&amp;$R319,Codes!$A$2:$A$108,0)))</f>
        <v/>
      </c>
      <c r="BX319" s="16" t="str">
        <f aca="false">IF($Y319="","",INDEX(Codes!$E$2:$E$108,MATCH("B4|"&amp;$Y319,Codes!$A$2:$A$108,0)))</f>
        <v/>
      </c>
      <c r="BY319" s="16" t="str">
        <f aca="false">IF($I319="","",INDEX(Codes!$E$2:$E$108,MATCH("A7|"&amp;$I319,Codes!$A$2:$A$108,0)))</f>
        <v/>
      </c>
      <c r="BZ319" s="16" t="str">
        <f aca="false">IF($AU319="","",INDEX(Codes!$E$2:$E$108,MATCH("B8|"&amp;$AU319,Codes!$A$2:$A$108,0)))</f>
        <v/>
      </c>
      <c r="CA319" s="16" t="str">
        <f aca="false">IF($H319="","",INDEX(Codes!$E$2:$E$108,MATCH("A6|"&amp;$H319,Codes!$A$2:$A$108,0)))</f>
        <v/>
      </c>
      <c r="CB319" s="16" t="str">
        <f aca="false">IF($X319="","",IF($X319="phone",1,0))</f>
        <v/>
      </c>
      <c r="CC319" s="16" t="str">
        <f aca="false">IF($BC319="","",8-$BC319)</f>
        <v/>
      </c>
    </row>
    <row r="320" customFormat="false" ht="15" hidden="false" customHeight="false" outlineLevel="0" collapsed="false">
      <c r="BW320" s="16" t="str">
        <f aca="false">IF($R320="","",INDEX(Codes!$E$2:$E$108,MATCH("B1|"&amp;$R320,Codes!$A$2:$A$108,0)))</f>
        <v/>
      </c>
      <c r="BX320" s="16" t="str">
        <f aca="false">IF($Y320="","",INDEX(Codes!$E$2:$E$108,MATCH("B4|"&amp;$Y320,Codes!$A$2:$A$108,0)))</f>
        <v/>
      </c>
      <c r="BY320" s="16" t="str">
        <f aca="false">IF($I320="","",INDEX(Codes!$E$2:$E$108,MATCH("A7|"&amp;$I320,Codes!$A$2:$A$108,0)))</f>
        <v/>
      </c>
      <c r="BZ320" s="16" t="str">
        <f aca="false">IF($AU320="","",INDEX(Codes!$E$2:$E$108,MATCH("B8|"&amp;$AU320,Codes!$A$2:$A$108,0)))</f>
        <v/>
      </c>
      <c r="CA320" s="16" t="str">
        <f aca="false">IF($H320="","",INDEX(Codes!$E$2:$E$108,MATCH("A6|"&amp;$H320,Codes!$A$2:$A$108,0)))</f>
        <v/>
      </c>
      <c r="CB320" s="16" t="str">
        <f aca="false">IF($X320="","",IF($X320="phone",1,0))</f>
        <v/>
      </c>
      <c r="CC320" s="16" t="str">
        <f aca="false">IF($BC320="","",8-$BC320)</f>
        <v/>
      </c>
    </row>
    <row r="321" customFormat="false" ht="15" hidden="false" customHeight="false" outlineLevel="0" collapsed="false">
      <c r="BW321" s="16" t="str">
        <f aca="false">IF($R321="","",INDEX(Codes!$E$2:$E$108,MATCH("B1|"&amp;$R321,Codes!$A$2:$A$108,0)))</f>
        <v/>
      </c>
      <c r="BX321" s="16" t="str">
        <f aca="false">IF($Y321="","",INDEX(Codes!$E$2:$E$108,MATCH("B4|"&amp;$Y321,Codes!$A$2:$A$108,0)))</f>
        <v/>
      </c>
      <c r="BY321" s="16" t="str">
        <f aca="false">IF($I321="","",INDEX(Codes!$E$2:$E$108,MATCH("A7|"&amp;$I321,Codes!$A$2:$A$108,0)))</f>
        <v/>
      </c>
      <c r="BZ321" s="16" t="str">
        <f aca="false">IF($AU321="","",INDEX(Codes!$E$2:$E$108,MATCH("B8|"&amp;$AU321,Codes!$A$2:$A$108,0)))</f>
        <v/>
      </c>
      <c r="CA321" s="16" t="str">
        <f aca="false">IF($H321="","",INDEX(Codes!$E$2:$E$108,MATCH("A6|"&amp;$H321,Codes!$A$2:$A$108,0)))</f>
        <v/>
      </c>
      <c r="CB321" s="16" t="str">
        <f aca="false">IF($X321="","",IF($X321="phone",1,0))</f>
        <v/>
      </c>
      <c r="CC321" s="16" t="str">
        <f aca="false">IF($BC321="","",8-$BC321)</f>
        <v/>
      </c>
    </row>
    <row r="322" customFormat="false" ht="15" hidden="false" customHeight="false" outlineLevel="0" collapsed="false">
      <c r="BW322" s="16" t="str">
        <f aca="false">IF($R322="","",INDEX(Codes!$E$2:$E$108,MATCH("B1|"&amp;$R322,Codes!$A$2:$A$108,0)))</f>
        <v/>
      </c>
      <c r="BX322" s="16" t="str">
        <f aca="false">IF($Y322="","",INDEX(Codes!$E$2:$E$108,MATCH("B4|"&amp;$Y322,Codes!$A$2:$A$108,0)))</f>
        <v/>
      </c>
      <c r="BY322" s="16" t="str">
        <f aca="false">IF($I322="","",INDEX(Codes!$E$2:$E$108,MATCH("A7|"&amp;$I322,Codes!$A$2:$A$108,0)))</f>
        <v/>
      </c>
      <c r="BZ322" s="16" t="str">
        <f aca="false">IF($AU322="","",INDEX(Codes!$E$2:$E$108,MATCH("B8|"&amp;$AU322,Codes!$A$2:$A$108,0)))</f>
        <v/>
      </c>
      <c r="CA322" s="16" t="str">
        <f aca="false">IF($H322="","",INDEX(Codes!$E$2:$E$108,MATCH("A6|"&amp;$H322,Codes!$A$2:$A$108,0)))</f>
        <v/>
      </c>
      <c r="CB322" s="16" t="str">
        <f aca="false">IF($X322="","",IF($X322="phone",1,0))</f>
        <v/>
      </c>
      <c r="CC322" s="16" t="str">
        <f aca="false">IF($BC322="","",8-$BC322)</f>
        <v/>
      </c>
    </row>
    <row r="323" customFormat="false" ht="15" hidden="false" customHeight="false" outlineLevel="0" collapsed="false">
      <c r="BW323" s="16" t="str">
        <f aca="false">IF($R323="","",INDEX(Codes!$E$2:$E$108,MATCH("B1|"&amp;$R323,Codes!$A$2:$A$108,0)))</f>
        <v/>
      </c>
      <c r="BX323" s="16" t="str">
        <f aca="false">IF($Y323="","",INDEX(Codes!$E$2:$E$108,MATCH("B4|"&amp;$Y323,Codes!$A$2:$A$108,0)))</f>
        <v/>
      </c>
      <c r="BY323" s="16" t="str">
        <f aca="false">IF($I323="","",INDEX(Codes!$E$2:$E$108,MATCH("A7|"&amp;$I323,Codes!$A$2:$A$108,0)))</f>
        <v/>
      </c>
      <c r="BZ323" s="16" t="str">
        <f aca="false">IF($AU323="","",INDEX(Codes!$E$2:$E$108,MATCH("B8|"&amp;$AU323,Codes!$A$2:$A$108,0)))</f>
        <v/>
      </c>
      <c r="CA323" s="16" t="str">
        <f aca="false">IF($H323="","",INDEX(Codes!$E$2:$E$108,MATCH("A6|"&amp;$H323,Codes!$A$2:$A$108,0)))</f>
        <v/>
      </c>
      <c r="CB323" s="16" t="str">
        <f aca="false">IF($X323="","",IF($X323="phone",1,0))</f>
        <v/>
      </c>
      <c r="CC323" s="16" t="str">
        <f aca="false">IF($BC323="","",8-$BC323)</f>
        <v/>
      </c>
    </row>
    <row r="324" customFormat="false" ht="15" hidden="false" customHeight="false" outlineLevel="0" collapsed="false">
      <c r="BW324" s="16" t="str">
        <f aca="false">IF($R324="","",INDEX(Codes!$E$2:$E$108,MATCH("B1|"&amp;$R324,Codes!$A$2:$A$108,0)))</f>
        <v/>
      </c>
      <c r="BX324" s="16" t="str">
        <f aca="false">IF($Y324="","",INDEX(Codes!$E$2:$E$108,MATCH("B4|"&amp;$Y324,Codes!$A$2:$A$108,0)))</f>
        <v/>
      </c>
      <c r="BY324" s="16" t="str">
        <f aca="false">IF($I324="","",INDEX(Codes!$E$2:$E$108,MATCH("A7|"&amp;$I324,Codes!$A$2:$A$108,0)))</f>
        <v/>
      </c>
      <c r="BZ324" s="16" t="str">
        <f aca="false">IF($AU324="","",INDEX(Codes!$E$2:$E$108,MATCH("B8|"&amp;$AU324,Codes!$A$2:$A$108,0)))</f>
        <v/>
      </c>
      <c r="CA324" s="16" t="str">
        <f aca="false">IF($H324="","",INDEX(Codes!$E$2:$E$108,MATCH("A6|"&amp;$H324,Codes!$A$2:$A$108,0)))</f>
        <v/>
      </c>
      <c r="CB324" s="16" t="str">
        <f aca="false">IF($X324="","",IF($X324="phone",1,0))</f>
        <v/>
      </c>
      <c r="CC324" s="16" t="str">
        <f aca="false">IF($BC324="","",8-$BC324)</f>
        <v/>
      </c>
    </row>
    <row r="325" customFormat="false" ht="15" hidden="false" customHeight="false" outlineLevel="0" collapsed="false">
      <c r="BW325" s="16" t="str">
        <f aca="false">IF($R325="","",INDEX(Codes!$E$2:$E$108,MATCH("B1|"&amp;$R325,Codes!$A$2:$A$108,0)))</f>
        <v/>
      </c>
      <c r="BX325" s="16" t="str">
        <f aca="false">IF($Y325="","",INDEX(Codes!$E$2:$E$108,MATCH("B4|"&amp;$Y325,Codes!$A$2:$A$108,0)))</f>
        <v/>
      </c>
      <c r="BY325" s="16" t="str">
        <f aca="false">IF($I325="","",INDEX(Codes!$E$2:$E$108,MATCH("A7|"&amp;$I325,Codes!$A$2:$A$108,0)))</f>
        <v/>
      </c>
      <c r="BZ325" s="16" t="str">
        <f aca="false">IF($AU325="","",INDEX(Codes!$E$2:$E$108,MATCH("B8|"&amp;$AU325,Codes!$A$2:$A$108,0)))</f>
        <v/>
      </c>
      <c r="CA325" s="16" t="str">
        <f aca="false">IF($H325="","",INDEX(Codes!$E$2:$E$108,MATCH("A6|"&amp;$H325,Codes!$A$2:$A$108,0)))</f>
        <v/>
      </c>
      <c r="CB325" s="16" t="str">
        <f aca="false">IF($X325="","",IF($X325="phone",1,0))</f>
        <v/>
      </c>
      <c r="CC325" s="16" t="str">
        <f aca="false">IF($BC325="","",8-$BC325)</f>
        <v/>
      </c>
    </row>
    <row r="326" customFormat="false" ht="15" hidden="false" customHeight="false" outlineLevel="0" collapsed="false">
      <c r="BW326" s="16" t="str">
        <f aca="false">IF($R326="","",INDEX(Codes!$E$2:$E$108,MATCH("B1|"&amp;$R326,Codes!$A$2:$A$108,0)))</f>
        <v/>
      </c>
      <c r="BX326" s="16" t="str">
        <f aca="false">IF($Y326="","",INDEX(Codes!$E$2:$E$108,MATCH("B4|"&amp;$Y326,Codes!$A$2:$A$108,0)))</f>
        <v/>
      </c>
      <c r="BY326" s="16" t="str">
        <f aca="false">IF($I326="","",INDEX(Codes!$E$2:$E$108,MATCH("A7|"&amp;$I326,Codes!$A$2:$A$108,0)))</f>
        <v/>
      </c>
      <c r="BZ326" s="16" t="str">
        <f aca="false">IF($AU326="","",INDEX(Codes!$E$2:$E$108,MATCH("B8|"&amp;$AU326,Codes!$A$2:$A$108,0)))</f>
        <v/>
      </c>
      <c r="CA326" s="16" t="str">
        <f aca="false">IF($H326="","",INDEX(Codes!$E$2:$E$108,MATCH("A6|"&amp;$H326,Codes!$A$2:$A$108,0)))</f>
        <v/>
      </c>
      <c r="CB326" s="16" t="str">
        <f aca="false">IF($X326="","",IF($X326="phone",1,0))</f>
        <v/>
      </c>
      <c r="CC326" s="16" t="str">
        <f aca="false">IF($BC326="","",8-$BC326)</f>
        <v/>
      </c>
    </row>
    <row r="327" customFormat="false" ht="15" hidden="false" customHeight="false" outlineLevel="0" collapsed="false">
      <c r="BW327" s="16" t="str">
        <f aca="false">IF($R327="","",INDEX(Codes!$E$2:$E$108,MATCH("B1|"&amp;$R327,Codes!$A$2:$A$108,0)))</f>
        <v/>
      </c>
      <c r="BX327" s="16" t="str">
        <f aca="false">IF($Y327="","",INDEX(Codes!$E$2:$E$108,MATCH("B4|"&amp;$Y327,Codes!$A$2:$A$108,0)))</f>
        <v/>
      </c>
      <c r="BY327" s="16" t="str">
        <f aca="false">IF($I327="","",INDEX(Codes!$E$2:$E$108,MATCH("A7|"&amp;$I327,Codes!$A$2:$A$108,0)))</f>
        <v/>
      </c>
      <c r="BZ327" s="16" t="str">
        <f aca="false">IF($AU327="","",INDEX(Codes!$E$2:$E$108,MATCH("B8|"&amp;$AU327,Codes!$A$2:$A$108,0)))</f>
        <v/>
      </c>
      <c r="CA327" s="16" t="str">
        <f aca="false">IF($H327="","",INDEX(Codes!$E$2:$E$108,MATCH("A6|"&amp;$H327,Codes!$A$2:$A$108,0)))</f>
        <v/>
      </c>
      <c r="CB327" s="16" t="str">
        <f aca="false">IF($X327="","",IF($X327="phone",1,0))</f>
        <v/>
      </c>
      <c r="CC327" s="16" t="str">
        <f aca="false">IF($BC327="","",8-$BC327)</f>
        <v/>
      </c>
    </row>
    <row r="328" customFormat="false" ht="15" hidden="false" customHeight="false" outlineLevel="0" collapsed="false">
      <c r="BW328" s="16" t="str">
        <f aca="false">IF($R328="","",INDEX(Codes!$E$2:$E$108,MATCH("B1|"&amp;$R328,Codes!$A$2:$A$108,0)))</f>
        <v/>
      </c>
      <c r="BX328" s="16" t="str">
        <f aca="false">IF($Y328="","",INDEX(Codes!$E$2:$E$108,MATCH("B4|"&amp;$Y328,Codes!$A$2:$A$108,0)))</f>
        <v/>
      </c>
      <c r="BY328" s="16" t="str">
        <f aca="false">IF($I328="","",INDEX(Codes!$E$2:$E$108,MATCH("A7|"&amp;$I328,Codes!$A$2:$A$108,0)))</f>
        <v/>
      </c>
      <c r="BZ328" s="16" t="str">
        <f aca="false">IF($AU328="","",INDEX(Codes!$E$2:$E$108,MATCH("B8|"&amp;$AU328,Codes!$A$2:$A$108,0)))</f>
        <v/>
      </c>
      <c r="CA328" s="16" t="str">
        <f aca="false">IF($H328="","",INDEX(Codes!$E$2:$E$108,MATCH("A6|"&amp;$H328,Codes!$A$2:$A$108,0)))</f>
        <v/>
      </c>
      <c r="CB328" s="16" t="str">
        <f aca="false">IF($X328="","",IF($X328="phone",1,0))</f>
        <v/>
      </c>
      <c r="CC328" s="16" t="str">
        <f aca="false">IF($BC328="","",8-$BC328)</f>
        <v/>
      </c>
    </row>
    <row r="329" customFormat="false" ht="15" hidden="false" customHeight="false" outlineLevel="0" collapsed="false">
      <c r="BW329" s="16" t="str">
        <f aca="false">IF($R329="","",INDEX(Codes!$E$2:$E$108,MATCH("B1|"&amp;$R329,Codes!$A$2:$A$108,0)))</f>
        <v/>
      </c>
      <c r="BX329" s="16" t="str">
        <f aca="false">IF($Y329="","",INDEX(Codes!$E$2:$E$108,MATCH("B4|"&amp;$Y329,Codes!$A$2:$A$108,0)))</f>
        <v/>
      </c>
      <c r="BY329" s="16" t="str">
        <f aca="false">IF($I329="","",INDEX(Codes!$E$2:$E$108,MATCH("A7|"&amp;$I329,Codes!$A$2:$A$108,0)))</f>
        <v/>
      </c>
      <c r="BZ329" s="16" t="str">
        <f aca="false">IF($AU329="","",INDEX(Codes!$E$2:$E$108,MATCH("B8|"&amp;$AU329,Codes!$A$2:$A$108,0)))</f>
        <v/>
      </c>
      <c r="CA329" s="16" t="str">
        <f aca="false">IF($H329="","",INDEX(Codes!$E$2:$E$108,MATCH("A6|"&amp;$H329,Codes!$A$2:$A$108,0)))</f>
        <v/>
      </c>
      <c r="CB329" s="16" t="str">
        <f aca="false">IF($X329="","",IF($X329="phone",1,0))</f>
        <v/>
      </c>
      <c r="CC329" s="16" t="str">
        <f aca="false">IF($BC329="","",8-$BC329)</f>
        <v/>
      </c>
    </row>
    <row r="330" customFormat="false" ht="15" hidden="false" customHeight="false" outlineLevel="0" collapsed="false">
      <c r="BW330" s="16" t="str">
        <f aca="false">IF($R330="","",INDEX(Codes!$E$2:$E$108,MATCH("B1|"&amp;$R330,Codes!$A$2:$A$108,0)))</f>
        <v/>
      </c>
      <c r="BX330" s="16" t="str">
        <f aca="false">IF($Y330="","",INDEX(Codes!$E$2:$E$108,MATCH("B4|"&amp;$Y330,Codes!$A$2:$A$108,0)))</f>
        <v/>
      </c>
      <c r="BY330" s="16" t="str">
        <f aca="false">IF($I330="","",INDEX(Codes!$E$2:$E$108,MATCH("A7|"&amp;$I330,Codes!$A$2:$A$108,0)))</f>
        <v/>
      </c>
      <c r="BZ330" s="16" t="str">
        <f aca="false">IF($AU330="","",INDEX(Codes!$E$2:$E$108,MATCH("B8|"&amp;$AU330,Codes!$A$2:$A$108,0)))</f>
        <v/>
      </c>
      <c r="CA330" s="16" t="str">
        <f aca="false">IF($H330="","",INDEX(Codes!$E$2:$E$108,MATCH("A6|"&amp;$H330,Codes!$A$2:$A$108,0)))</f>
        <v/>
      </c>
      <c r="CB330" s="16" t="str">
        <f aca="false">IF($X330="","",IF($X330="phone",1,0))</f>
        <v/>
      </c>
      <c r="CC330" s="16" t="str">
        <f aca="false">IF($BC330="","",8-$BC330)</f>
        <v/>
      </c>
    </row>
    <row r="331" customFormat="false" ht="15" hidden="false" customHeight="false" outlineLevel="0" collapsed="false">
      <c r="BW331" s="16" t="str">
        <f aca="false">IF($R331="","",INDEX(Codes!$E$2:$E$108,MATCH("B1|"&amp;$R331,Codes!$A$2:$A$108,0)))</f>
        <v/>
      </c>
      <c r="BX331" s="16" t="str">
        <f aca="false">IF($Y331="","",INDEX(Codes!$E$2:$E$108,MATCH("B4|"&amp;$Y331,Codes!$A$2:$A$108,0)))</f>
        <v/>
      </c>
      <c r="BY331" s="16" t="str">
        <f aca="false">IF($I331="","",INDEX(Codes!$E$2:$E$108,MATCH("A7|"&amp;$I331,Codes!$A$2:$A$108,0)))</f>
        <v/>
      </c>
      <c r="BZ331" s="16" t="str">
        <f aca="false">IF($AU331="","",INDEX(Codes!$E$2:$E$108,MATCH("B8|"&amp;$AU331,Codes!$A$2:$A$108,0)))</f>
        <v/>
      </c>
      <c r="CA331" s="16" t="str">
        <f aca="false">IF($H331="","",INDEX(Codes!$E$2:$E$108,MATCH("A6|"&amp;$H331,Codes!$A$2:$A$108,0)))</f>
        <v/>
      </c>
      <c r="CB331" s="16" t="str">
        <f aca="false">IF($X331="","",IF($X331="phone",1,0))</f>
        <v/>
      </c>
      <c r="CC331" s="16" t="str">
        <f aca="false">IF($BC331="","",8-$BC331)</f>
        <v/>
      </c>
    </row>
    <row r="332" customFormat="false" ht="15" hidden="false" customHeight="false" outlineLevel="0" collapsed="false">
      <c r="BW332" s="16" t="str">
        <f aca="false">IF($R332="","",INDEX(Codes!$E$2:$E$108,MATCH("B1|"&amp;$R332,Codes!$A$2:$A$108,0)))</f>
        <v/>
      </c>
      <c r="BX332" s="16" t="str">
        <f aca="false">IF($Y332="","",INDEX(Codes!$E$2:$E$108,MATCH("B4|"&amp;$Y332,Codes!$A$2:$A$108,0)))</f>
        <v/>
      </c>
      <c r="BY332" s="16" t="str">
        <f aca="false">IF($I332="","",INDEX(Codes!$E$2:$E$108,MATCH("A7|"&amp;$I332,Codes!$A$2:$A$108,0)))</f>
        <v/>
      </c>
      <c r="BZ332" s="16" t="str">
        <f aca="false">IF($AU332="","",INDEX(Codes!$E$2:$E$108,MATCH("B8|"&amp;$AU332,Codes!$A$2:$A$108,0)))</f>
        <v/>
      </c>
      <c r="CA332" s="16" t="str">
        <f aca="false">IF($H332="","",INDEX(Codes!$E$2:$E$108,MATCH("A6|"&amp;$H332,Codes!$A$2:$A$108,0)))</f>
        <v/>
      </c>
      <c r="CB332" s="16" t="str">
        <f aca="false">IF($X332="","",IF($X332="phone",1,0))</f>
        <v/>
      </c>
      <c r="CC332" s="16" t="str">
        <f aca="false">IF($BC332="","",8-$BC332)</f>
        <v/>
      </c>
    </row>
    <row r="333" customFormat="false" ht="15" hidden="false" customHeight="false" outlineLevel="0" collapsed="false">
      <c r="BW333" s="16" t="str">
        <f aca="false">IF($R333="","",INDEX(Codes!$E$2:$E$108,MATCH("B1|"&amp;$R333,Codes!$A$2:$A$108,0)))</f>
        <v/>
      </c>
      <c r="BX333" s="16" t="str">
        <f aca="false">IF($Y333="","",INDEX(Codes!$E$2:$E$108,MATCH("B4|"&amp;$Y333,Codes!$A$2:$A$108,0)))</f>
        <v/>
      </c>
      <c r="BY333" s="16" t="str">
        <f aca="false">IF($I333="","",INDEX(Codes!$E$2:$E$108,MATCH("A7|"&amp;$I333,Codes!$A$2:$A$108,0)))</f>
        <v/>
      </c>
      <c r="BZ333" s="16" t="str">
        <f aca="false">IF($AU333="","",INDEX(Codes!$E$2:$E$108,MATCH("B8|"&amp;$AU333,Codes!$A$2:$A$108,0)))</f>
        <v/>
      </c>
      <c r="CA333" s="16" t="str">
        <f aca="false">IF($H333="","",INDEX(Codes!$E$2:$E$108,MATCH("A6|"&amp;$H333,Codes!$A$2:$A$108,0)))</f>
        <v/>
      </c>
      <c r="CB333" s="16" t="str">
        <f aca="false">IF($X333="","",IF($X333="phone",1,0))</f>
        <v/>
      </c>
      <c r="CC333" s="16" t="str">
        <f aca="false">IF($BC333="","",8-$BC333)</f>
        <v/>
      </c>
    </row>
    <row r="334" customFormat="false" ht="15" hidden="false" customHeight="false" outlineLevel="0" collapsed="false">
      <c r="BW334" s="16" t="str">
        <f aca="false">IF($R334="","",INDEX(Codes!$E$2:$E$108,MATCH("B1|"&amp;$R334,Codes!$A$2:$A$108,0)))</f>
        <v/>
      </c>
      <c r="BX334" s="16" t="str">
        <f aca="false">IF($Y334="","",INDEX(Codes!$E$2:$E$108,MATCH("B4|"&amp;$Y334,Codes!$A$2:$A$108,0)))</f>
        <v/>
      </c>
      <c r="BY334" s="16" t="str">
        <f aca="false">IF($I334="","",INDEX(Codes!$E$2:$E$108,MATCH("A7|"&amp;$I334,Codes!$A$2:$A$108,0)))</f>
        <v/>
      </c>
      <c r="BZ334" s="16" t="str">
        <f aca="false">IF($AU334="","",INDEX(Codes!$E$2:$E$108,MATCH("B8|"&amp;$AU334,Codes!$A$2:$A$108,0)))</f>
        <v/>
      </c>
      <c r="CA334" s="16" t="str">
        <f aca="false">IF($H334="","",INDEX(Codes!$E$2:$E$108,MATCH("A6|"&amp;$H334,Codes!$A$2:$A$108,0)))</f>
        <v/>
      </c>
      <c r="CB334" s="16" t="str">
        <f aca="false">IF($X334="","",IF($X334="phone",1,0))</f>
        <v/>
      </c>
      <c r="CC334" s="16" t="str">
        <f aca="false">IF($BC334="","",8-$BC334)</f>
        <v/>
      </c>
    </row>
    <row r="335" customFormat="false" ht="15" hidden="false" customHeight="false" outlineLevel="0" collapsed="false">
      <c r="BW335" s="16" t="str">
        <f aca="false">IF($R335="","",INDEX(Codes!$E$2:$E$108,MATCH("B1|"&amp;$R335,Codes!$A$2:$A$108,0)))</f>
        <v/>
      </c>
      <c r="BX335" s="16" t="str">
        <f aca="false">IF($Y335="","",INDEX(Codes!$E$2:$E$108,MATCH("B4|"&amp;$Y335,Codes!$A$2:$A$108,0)))</f>
        <v/>
      </c>
      <c r="BY335" s="16" t="str">
        <f aca="false">IF($I335="","",INDEX(Codes!$E$2:$E$108,MATCH("A7|"&amp;$I335,Codes!$A$2:$A$108,0)))</f>
        <v/>
      </c>
      <c r="BZ335" s="16" t="str">
        <f aca="false">IF($AU335="","",INDEX(Codes!$E$2:$E$108,MATCH("B8|"&amp;$AU335,Codes!$A$2:$A$108,0)))</f>
        <v/>
      </c>
      <c r="CA335" s="16" t="str">
        <f aca="false">IF($H335="","",INDEX(Codes!$E$2:$E$108,MATCH("A6|"&amp;$H335,Codes!$A$2:$A$108,0)))</f>
        <v/>
      </c>
      <c r="CB335" s="16" t="str">
        <f aca="false">IF($X335="","",IF($X335="phone",1,0))</f>
        <v/>
      </c>
      <c r="CC335" s="16" t="str">
        <f aca="false">IF($BC335="","",8-$BC335)</f>
        <v/>
      </c>
    </row>
    <row r="336" customFormat="false" ht="15" hidden="false" customHeight="false" outlineLevel="0" collapsed="false">
      <c r="BW336" s="16" t="str">
        <f aca="false">IF($R336="","",INDEX(Codes!$E$2:$E$108,MATCH("B1|"&amp;$R336,Codes!$A$2:$A$108,0)))</f>
        <v/>
      </c>
      <c r="BX336" s="16" t="str">
        <f aca="false">IF($Y336="","",INDEX(Codes!$E$2:$E$108,MATCH("B4|"&amp;$Y336,Codes!$A$2:$A$108,0)))</f>
        <v/>
      </c>
      <c r="BY336" s="16" t="str">
        <f aca="false">IF($I336="","",INDEX(Codes!$E$2:$E$108,MATCH("A7|"&amp;$I336,Codes!$A$2:$A$108,0)))</f>
        <v/>
      </c>
      <c r="BZ336" s="16" t="str">
        <f aca="false">IF($AU336="","",INDEX(Codes!$E$2:$E$108,MATCH("B8|"&amp;$AU336,Codes!$A$2:$A$108,0)))</f>
        <v/>
      </c>
      <c r="CA336" s="16" t="str">
        <f aca="false">IF($H336="","",INDEX(Codes!$E$2:$E$108,MATCH("A6|"&amp;$H336,Codes!$A$2:$A$108,0)))</f>
        <v/>
      </c>
      <c r="CB336" s="16" t="str">
        <f aca="false">IF($X336="","",IF($X336="phone",1,0))</f>
        <v/>
      </c>
      <c r="CC336" s="16" t="str">
        <f aca="false">IF($BC336="","",8-$BC336)</f>
        <v/>
      </c>
    </row>
    <row r="337" customFormat="false" ht="15" hidden="false" customHeight="false" outlineLevel="0" collapsed="false">
      <c r="BW337" s="16" t="str">
        <f aca="false">IF($R337="","",INDEX(Codes!$E$2:$E$108,MATCH("B1|"&amp;$R337,Codes!$A$2:$A$108,0)))</f>
        <v/>
      </c>
      <c r="BX337" s="16" t="str">
        <f aca="false">IF($Y337="","",INDEX(Codes!$E$2:$E$108,MATCH("B4|"&amp;$Y337,Codes!$A$2:$A$108,0)))</f>
        <v/>
      </c>
      <c r="BY337" s="16" t="str">
        <f aca="false">IF($I337="","",INDEX(Codes!$E$2:$E$108,MATCH("A7|"&amp;$I337,Codes!$A$2:$A$108,0)))</f>
        <v/>
      </c>
      <c r="BZ337" s="16" t="str">
        <f aca="false">IF($AU337="","",INDEX(Codes!$E$2:$E$108,MATCH("B8|"&amp;$AU337,Codes!$A$2:$A$108,0)))</f>
        <v/>
      </c>
      <c r="CA337" s="16" t="str">
        <f aca="false">IF($H337="","",INDEX(Codes!$E$2:$E$108,MATCH("A6|"&amp;$H337,Codes!$A$2:$A$108,0)))</f>
        <v/>
      </c>
      <c r="CB337" s="16" t="str">
        <f aca="false">IF($X337="","",IF($X337="phone",1,0))</f>
        <v/>
      </c>
      <c r="CC337" s="16" t="str">
        <f aca="false">IF($BC337="","",8-$BC337)</f>
        <v/>
      </c>
    </row>
    <row r="338" customFormat="false" ht="15" hidden="false" customHeight="false" outlineLevel="0" collapsed="false">
      <c r="BW338" s="16" t="str">
        <f aca="false">IF($R338="","",INDEX(Codes!$E$2:$E$108,MATCH("B1|"&amp;$R338,Codes!$A$2:$A$108,0)))</f>
        <v/>
      </c>
      <c r="BX338" s="16" t="str">
        <f aca="false">IF($Y338="","",INDEX(Codes!$E$2:$E$108,MATCH("B4|"&amp;$Y338,Codes!$A$2:$A$108,0)))</f>
        <v/>
      </c>
      <c r="BY338" s="16" t="str">
        <f aca="false">IF($I338="","",INDEX(Codes!$E$2:$E$108,MATCH("A7|"&amp;$I338,Codes!$A$2:$A$108,0)))</f>
        <v/>
      </c>
      <c r="BZ338" s="16" t="str">
        <f aca="false">IF($AU338="","",INDEX(Codes!$E$2:$E$108,MATCH("B8|"&amp;$AU338,Codes!$A$2:$A$108,0)))</f>
        <v/>
      </c>
      <c r="CA338" s="16" t="str">
        <f aca="false">IF($H338="","",INDEX(Codes!$E$2:$E$108,MATCH("A6|"&amp;$H338,Codes!$A$2:$A$108,0)))</f>
        <v/>
      </c>
      <c r="CB338" s="16" t="str">
        <f aca="false">IF($X338="","",IF($X338="phone",1,0))</f>
        <v/>
      </c>
      <c r="CC338" s="16" t="str">
        <f aca="false">IF($BC338="","",8-$BC338)</f>
        <v/>
      </c>
    </row>
    <row r="339" customFormat="false" ht="15" hidden="false" customHeight="false" outlineLevel="0" collapsed="false">
      <c r="BW339" s="16" t="str">
        <f aca="false">IF($R339="","",INDEX(Codes!$E$2:$E$108,MATCH("B1|"&amp;$R339,Codes!$A$2:$A$108,0)))</f>
        <v/>
      </c>
      <c r="BX339" s="16" t="str">
        <f aca="false">IF($Y339="","",INDEX(Codes!$E$2:$E$108,MATCH("B4|"&amp;$Y339,Codes!$A$2:$A$108,0)))</f>
        <v/>
      </c>
      <c r="BY339" s="16" t="str">
        <f aca="false">IF($I339="","",INDEX(Codes!$E$2:$E$108,MATCH("A7|"&amp;$I339,Codes!$A$2:$A$108,0)))</f>
        <v/>
      </c>
      <c r="BZ339" s="16" t="str">
        <f aca="false">IF($AU339="","",INDEX(Codes!$E$2:$E$108,MATCH("B8|"&amp;$AU339,Codes!$A$2:$A$108,0)))</f>
        <v/>
      </c>
      <c r="CA339" s="16" t="str">
        <f aca="false">IF($H339="","",INDEX(Codes!$E$2:$E$108,MATCH("A6|"&amp;$H339,Codes!$A$2:$A$108,0)))</f>
        <v/>
      </c>
      <c r="CB339" s="16" t="str">
        <f aca="false">IF($X339="","",IF($X339="phone",1,0))</f>
        <v/>
      </c>
      <c r="CC339" s="16" t="str">
        <f aca="false">IF($BC339="","",8-$BC339)</f>
        <v/>
      </c>
    </row>
    <row r="340" customFormat="false" ht="15" hidden="false" customHeight="false" outlineLevel="0" collapsed="false">
      <c r="BW340" s="16" t="str">
        <f aca="false">IF($R340="","",INDEX(Codes!$E$2:$E$108,MATCH("B1|"&amp;$R340,Codes!$A$2:$A$108,0)))</f>
        <v/>
      </c>
      <c r="BX340" s="16" t="str">
        <f aca="false">IF($Y340="","",INDEX(Codes!$E$2:$E$108,MATCH("B4|"&amp;$Y340,Codes!$A$2:$A$108,0)))</f>
        <v/>
      </c>
      <c r="BY340" s="16" t="str">
        <f aca="false">IF($I340="","",INDEX(Codes!$E$2:$E$108,MATCH("A7|"&amp;$I340,Codes!$A$2:$A$108,0)))</f>
        <v/>
      </c>
      <c r="BZ340" s="16" t="str">
        <f aca="false">IF($AU340="","",INDEX(Codes!$E$2:$E$108,MATCH("B8|"&amp;$AU340,Codes!$A$2:$A$108,0)))</f>
        <v/>
      </c>
      <c r="CA340" s="16" t="str">
        <f aca="false">IF($H340="","",INDEX(Codes!$E$2:$E$108,MATCH("A6|"&amp;$H340,Codes!$A$2:$A$108,0)))</f>
        <v/>
      </c>
      <c r="CB340" s="16" t="str">
        <f aca="false">IF($X340="","",IF($X340="phone",1,0))</f>
        <v/>
      </c>
      <c r="CC340" s="16" t="str">
        <f aca="false">IF($BC340="","",8-$BC340)</f>
        <v/>
      </c>
    </row>
    <row r="341" customFormat="false" ht="15" hidden="false" customHeight="false" outlineLevel="0" collapsed="false">
      <c r="BW341" s="16" t="str">
        <f aca="false">IF($R341="","",INDEX(Codes!$E$2:$E$108,MATCH("B1|"&amp;$R341,Codes!$A$2:$A$108,0)))</f>
        <v/>
      </c>
      <c r="BX341" s="16" t="str">
        <f aca="false">IF($Y341="","",INDEX(Codes!$E$2:$E$108,MATCH("B4|"&amp;$Y341,Codes!$A$2:$A$108,0)))</f>
        <v/>
      </c>
      <c r="BY341" s="16" t="str">
        <f aca="false">IF($I341="","",INDEX(Codes!$E$2:$E$108,MATCH("A7|"&amp;$I341,Codes!$A$2:$A$108,0)))</f>
        <v/>
      </c>
      <c r="BZ341" s="16" t="str">
        <f aca="false">IF($AU341="","",INDEX(Codes!$E$2:$E$108,MATCH("B8|"&amp;$AU341,Codes!$A$2:$A$108,0)))</f>
        <v/>
      </c>
      <c r="CA341" s="16" t="str">
        <f aca="false">IF($H341="","",INDEX(Codes!$E$2:$E$108,MATCH("A6|"&amp;$H341,Codes!$A$2:$A$108,0)))</f>
        <v/>
      </c>
      <c r="CB341" s="16" t="str">
        <f aca="false">IF($X341="","",IF($X341="phone",1,0))</f>
        <v/>
      </c>
      <c r="CC341" s="16" t="str">
        <f aca="false">IF($BC341="","",8-$BC341)</f>
        <v/>
      </c>
    </row>
    <row r="342" customFormat="false" ht="15" hidden="false" customHeight="false" outlineLevel="0" collapsed="false">
      <c r="BW342" s="16" t="str">
        <f aca="false">IF($R342="","",INDEX(Codes!$E$2:$E$108,MATCH("B1|"&amp;$R342,Codes!$A$2:$A$108,0)))</f>
        <v/>
      </c>
      <c r="BX342" s="16" t="str">
        <f aca="false">IF($Y342="","",INDEX(Codes!$E$2:$E$108,MATCH("B4|"&amp;$Y342,Codes!$A$2:$A$108,0)))</f>
        <v/>
      </c>
      <c r="BY342" s="16" t="str">
        <f aca="false">IF($I342="","",INDEX(Codes!$E$2:$E$108,MATCH("A7|"&amp;$I342,Codes!$A$2:$A$108,0)))</f>
        <v/>
      </c>
      <c r="BZ342" s="16" t="str">
        <f aca="false">IF($AU342="","",INDEX(Codes!$E$2:$E$108,MATCH("B8|"&amp;$AU342,Codes!$A$2:$A$108,0)))</f>
        <v/>
      </c>
      <c r="CA342" s="16" t="str">
        <f aca="false">IF($H342="","",INDEX(Codes!$E$2:$E$108,MATCH("A6|"&amp;$H342,Codes!$A$2:$A$108,0)))</f>
        <v/>
      </c>
      <c r="CB342" s="16" t="str">
        <f aca="false">IF($X342="","",IF($X342="phone",1,0))</f>
        <v/>
      </c>
      <c r="CC342" s="16" t="str">
        <f aca="false">IF($BC342="","",8-$BC342)</f>
        <v/>
      </c>
    </row>
    <row r="343" customFormat="false" ht="15" hidden="false" customHeight="false" outlineLevel="0" collapsed="false">
      <c r="BW343" s="16" t="str">
        <f aca="false">IF($R343="","",INDEX(Codes!$E$2:$E$108,MATCH("B1|"&amp;$R343,Codes!$A$2:$A$108,0)))</f>
        <v/>
      </c>
      <c r="BX343" s="16" t="str">
        <f aca="false">IF($Y343="","",INDEX(Codes!$E$2:$E$108,MATCH("B4|"&amp;$Y343,Codes!$A$2:$A$108,0)))</f>
        <v/>
      </c>
      <c r="BY343" s="16" t="str">
        <f aca="false">IF($I343="","",INDEX(Codes!$E$2:$E$108,MATCH("A7|"&amp;$I343,Codes!$A$2:$A$108,0)))</f>
        <v/>
      </c>
      <c r="BZ343" s="16" t="str">
        <f aca="false">IF($AU343="","",INDEX(Codes!$E$2:$E$108,MATCH("B8|"&amp;$AU343,Codes!$A$2:$A$108,0)))</f>
        <v/>
      </c>
      <c r="CA343" s="16" t="str">
        <f aca="false">IF($H343="","",INDEX(Codes!$E$2:$E$108,MATCH("A6|"&amp;$H343,Codes!$A$2:$A$108,0)))</f>
        <v/>
      </c>
      <c r="CB343" s="16" t="str">
        <f aca="false">IF($X343="","",IF($X343="phone",1,0))</f>
        <v/>
      </c>
      <c r="CC343" s="16" t="str">
        <f aca="false">IF($BC343="","",8-$BC343)</f>
        <v/>
      </c>
    </row>
    <row r="344" customFormat="false" ht="15" hidden="false" customHeight="false" outlineLevel="0" collapsed="false">
      <c r="BW344" s="16" t="str">
        <f aca="false">IF($R344="","",INDEX(Codes!$E$2:$E$108,MATCH("B1|"&amp;$R344,Codes!$A$2:$A$108,0)))</f>
        <v/>
      </c>
      <c r="BX344" s="16" t="str">
        <f aca="false">IF($Y344="","",INDEX(Codes!$E$2:$E$108,MATCH("B4|"&amp;$Y344,Codes!$A$2:$A$108,0)))</f>
        <v/>
      </c>
      <c r="BY344" s="16" t="str">
        <f aca="false">IF($I344="","",INDEX(Codes!$E$2:$E$108,MATCH("A7|"&amp;$I344,Codes!$A$2:$A$108,0)))</f>
        <v/>
      </c>
      <c r="BZ344" s="16" t="str">
        <f aca="false">IF($AU344="","",INDEX(Codes!$E$2:$E$108,MATCH("B8|"&amp;$AU344,Codes!$A$2:$A$108,0)))</f>
        <v/>
      </c>
      <c r="CA344" s="16" t="str">
        <f aca="false">IF($H344="","",INDEX(Codes!$E$2:$E$108,MATCH("A6|"&amp;$H344,Codes!$A$2:$A$108,0)))</f>
        <v/>
      </c>
      <c r="CB344" s="16" t="str">
        <f aca="false">IF($X344="","",IF($X344="phone",1,0))</f>
        <v/>
      </c>
      <c r="CC344" s="16" t="str">
        <f aca="false">IF($BC344="","",8-$BC344)</f>
        <v/>
      </c>
    </row>
    <row r="345" customFormat="false" ht="15" hidden="false" customHeight="false" outlineLevel="0" collapsed="false">
      <c r="BW345" s="16" t="str">
        <f aca="false">IF($R345="","",INDEX(Codes!$E$2:$E$108,MATCH("B1|"&amp;$R345,Codes!$A$2:$A$108,0)))</f>
        <v/>
      </c>
      <c r="BX345" s="16" t="str">
        <f aca="false">IF($Y345="","",INDEX(Codes!$E$2:$E$108,MATCH("B4|"&amp;$Y345,Codes!$A$2:$A$108,0)))</f>
        <v/>
      </c>
      <c r="BY345" s="16" t="str">
        <f aca="false">IF($I345="","",INDEX(Codes!$E$2:$E$108,MATCH("A7|"&amp;$I345,Codes!$A$2:$A$108,0)))</f>
        <v/>
      </c>
      <c r="BZ345" s="16" t="str">
        <f aca="false">IF($AU345="","",INDEX(Codes!$E$2:$E$108,MATCH("B8|"&amp;$AU345,Codes!$A$2:$A$108,0)))</f>
        <v/>
      </c>
      <c r="CA345" s="16" t="str">
        <f aca="false">IF($H345="","",INDEX(Codes!$E$2:$E$108,MATCH("A6|"&amp;$H345,Codes!$A$2:$A$108,0)))</f>
        <v/>
      </c>
      <c r="CB345" s="16" t="str">
        <f aca="false">IF($X345="","",IF($X345="phone",1,0))</f>
        <v/>
      </c>
      <c r="CC345" s="16" t="str">
        <f aca="false">IF($BC345="","",8-$BC345)</f>
        <v/>
      </c>
    </row>
    <row r="346" customFormat="false" ht="15" hidden="false" customHeight="false" outlineLevel="0" collapsed="false">
      <c r="BW346" s="16" t="str">
        <f aca="false">IF($R346="","",INDEX(Codes!$E$2:$E$108,MATCH("B1|"&amp;$R346,Codes!$A$2:$A$108,0)))</f>
        <v/>
      </c>
      <c r="BX346" s="16" t="str">
        <f aca="false">IF($Y346="","",INDEX(Codes!$E$2:$E$108,MATCH("B4|"&amp;$Y346,Codes!$A$2:$A$108,0)))</f>
        <v/>
      </c>
      <c r="BY346" s="16" t="str">
        <f aca="false">IF($I346="","",INDEX(Codes!$E$2:$E$108,MATCH("A7|"&amp;$I346,Codes!$A$2:$A$108,0)))</f>
        <v/>
      </c>
      <c r="BZ346" s="16" t="str">
        <f aca="false">IF($AU346="","",INDEX(Codes!$E$2:$E$108,MATCH("B8|"&amp;$AU346,Codes!$A$2:$A$108,0)))</f>
        <v/>
      </c>
      <c r="CA346" s="16" t="str">
        <f aca="false">IF($H346="","",INDEX(Codes!$E$2:$E$108,MATCH("A6|"&amp;$H346,Codes!$A$2:$A$108,0)))</f>
        <v/>
      </c>
      <c r="CB346" s="16" t="str">
        <f aca="false">IF($X346="","",IF($X346="phone",1,0))</f>
        <v/>
      </c>
      <c r="CC346" s="16" t="str">
        <f aca="false">IF($BC346="","",8-$BC346)</f>
        <v/>
      </c>
    </row>
    <row r="347" customFormat="false" ht="15" hidden="false" customHeight="false" outlineLevel="0" collapsed="false">
      <c r="BW347" s="16" t="str">
        <f aca="false">IF($R347="","",INDEX(Codes!$E$2:$E$108,MATCH("B1|"&amp;$R347,Codes!$A$2:$A$108,0)))</f>
        <v/>
      </c>
      <c r="BX347" s="16" t="str">
        <f aca="false">IF($Y347="","",INDEX(Codes!$E$2:$E$108,MATCH("B4|"&amp;$Y347,Codes!$A$2:$A$108,0)))</f>
        <v/>
      </c>
      <c r="BY347" s="16" t="str">
        <f aca="false">IF($I347="","",INDEX(Codes!$E$2:$E$108,MATCH("A7|"&amp;$I347,Codes!$A$2:$A$108,0)))</f>
        <v/>
      </c>
      <c r="BZ347" s="16" t="str">
        <f aca="false">IF($AU347="","",INDEX(Codes!$E$2:$E$108,MATCH("B8|"&amp;$AU347,Codes!$A$2:$A$108,0)))</f>
        <v/>
      </c>
      <c r="CA347" s="16" t="str">
        <f aca="false">IF($H347="","",INDEX(Codes!$E$2:$E$108,MATCH("A6|"&amp;$H347,Codes!$A$2:$A$108,0)))</f>
        <v/>
      </c>
      <c r="CB347" s="16" t="str">
        <f aca="false">IF($X347="","",IF($X347="phone",1,0))</f>
        <v/>
      </c>
      <c r="CC347" s="16" t="str">
        <f aca="false">IF($BC347="","",8-$BC347)</f>
        <v/>
      </c>
    </row>
    <row r="348" customFormat="false" ht="15" hidden="false" customHeight="false" outlineLevel="0" collapsed="false">
      <c r="BW348" s="16" t="str">
        <f aca="false">IF($R348="","",INDEX(Codes!$E$2:$E$108,MATCH("B1|"&amp;$R348,Codes!$A$2:$A$108,0)))</f>
        <v/>
      </c>
      <c r="BX348" s="16" t="str">
        <f aca="false">IF($Y348="","",INDEX(Codes!$E$2:$E$108,MATCH("B4|"&amp;$Y348,Codes!$A$2:$A$108,0)))</f>
        <v/>
      </c>
      <c r="BY348" s="16" t="str">
        <f aca="false">IF($I348="","",INDEX(Codes!$E$2:$E$108,MATCH("A7|"&amp;$I348,Codes!$A$2:$A$108,0)))</f>
        <v/>
      </c>
      <c r="BZ348" s="16" t="str">
        <f aca="false">IF($AU348="","",INDEX(Codes!$E$2:$E$108,MATCH("B8|"&amp;$AU348,Codes!$A$2:$A$108,0)))</f>
        <v/>
      </c>
      <c r="CA348" s="16" t="str">
        <f aca="false">IF($H348="","",INDEX(Codes!$E$2:$E$108,MATCH("A6|"&amp;$H348,Codes!$A$2:$A$108,0)))</f>
        <v/>
      </c>
      <c r="CB348" s="16" t="str">
        <f aca="false">IF($X348="","",IF($X348="phone",1,0))</f>
        <v/>
      </c>
      <c r="CC348" s="16" t="str">
        <f aca="false">IF($BC348="","",8-$BC348)</f>
        <v/>
      </c>
    </row>
    <row r="349" customFormat="false" ht="15" hidden="false" customHeight="false" outlineLevel="0" collapsed="false">
      <c r="BW349" s="16" t="str">
        <f aca="false">IF($R349="","",INDEX(Codes!$E$2:$E$108,MATCH("B1|"&amp;$R349,Codes!$A$2:$A$108,0)))</f>
        <v/>
      </c>
      <c r="BX349" s="16" t="str">
        <f aca="false">IF($Y349="","",INDEX(Codes!$E$2:$E$108,MATCH("B4|"&amp;$Y349,Codes!$A$2:$A$108,0)))</f>
        <v/>
      </c>
      <c r="BY349" s="16" t="str">
        <f aca="false">IF($I349="","",INDEX(Codes!$E$2:$E$108,MATCH("A7|"&amp;$I349,Codes!$A$2:$A$108,0)))</f>
        <v/>
      </c>
      <c r="BZ349" s="16" t="str">
        <f aca="false">IF($AU349="","",INDEX(Codes!$E$2:$E$108,MATCH("B8|"&amp;$AU349,Codes!$A$2:$A$108,0)))</f>
        <v/>
      </c>
      <c r="CA349" s="16" t="str">
        <f aca="false">IF($H349="","",INDEX(Codes!$E$2:$E$108,MATCH("A6|"&amp;$H349,Codes!$A$2:$A$108,0)))</f>
        <v/>
      </c>
      <c r="CB349" s="16" t="str">
        <f aca="false">IF($X349="","",IF($X349="phone",1,0))</f>
        <v/>
      </c>
      <c r="CC349" s="16" t="str">
        <f aca="false">IF($BC349="","",8-$BC349)</f>
        <v/>
      </c>
    </row>
    <row r="350" customFormat="false" ht="15" hidden="false" customHeight="false" outlineLevel="0" collapsed="false">
      <c r="BW350" s="16" t="str">
        <f aca="false">IF($R350="","",INDEX(Codes!$E$2:$E$108,MATCH("B1|"&amp;$R350,Codes!$A$2:$A$108,0)))</f>
        <v/>
      </c>
      <c r="BX350" s="16" t="str">
        <f aca="false">IF($Y350="","",INDEX(Codes!$E$2:$E$108,MATCH("B4|"&amp;$Y350,Codes!$A$2:$A$108,0)))</f>
        <v/>
      </c>
      <c r="BY350" s="16" t="str">
        <f aca="false">IF($I350="","",INDEX(Codes!$E$2:$E$108,MATCH("A7|"&amp;$I350,Codes!$A$2:$A$108,0)))</f>
        <v/>
      </c>
      <c r="BZ350" s="16" t="str">
        <f aca="false">IF($AU350="","",INDEX(Codes!$E$2:$E$108,MATCH("B8|"&amp;$AU350,Codes!$A$2:$A$108,0)))</f>
        <v/>
      </c>
      <c r="CA350" s="16" t="str">
        <f aca="false">IF($H350="","",INDEX(Codes!$E$2:$E$108,MATCH("A6|"&amp;$H350,Codes!$A$2:$A$108,0)))</f>
        <v/>
      </c>
      <c r="CB350" s="16" t="str">
        <f aca="false">IF($X350="","",IF($X350="phone",1,0))</f>
        <v/>
      </c>
      <c r="CC350" s="16" t="str">
        <f aca="false">IF($BC350="","",8-$BC350)</f>
        <v/>
      </c>
    </row>
    <row r="351" customFormat="false" ht="15" hidden="false" customHeight="false" outlineLevel="0" collapsed="false">
      <c r="BW351" s="16" t="str">
        <f aca="false">IF($R351="","",INDEX(Codes!$E$2:$E$108,MATCH("B1|"&amp;$R351,Codes!$A$2:$A$108,0)))</f>
        <v/>
      </c>
      <c r="BX351" s="16" t="str">
        <f aca="false">IF($Y351="","",INDEX(Codes!$E$2:$E$108,MATCH("B4|"&amp;$Y351,Codes!$A$2:$A$108,0)))</f>
        <v/>
      </c>
      <c r="BY351" s="16" t="str">
        <f aca="false">IF($I351="","",INDEX(Codes!$E$2:$E$108,MATCH("A7|"&amp;$I351,Codes!$A$2:$A$108,0)))</f>
        <v/>
      </c>
      <c r="BZ351" s="16" t="str">
        <f aca="false">IF($AU351="","",INDEX(Codes!$E$2:$E$108,MATCH("B8|"&amp;$AU351,Codes!$A$2:$A$108,0)))</f>
        <v/>
      </c>
      <c r="CA351" s="16" t="str">
        <f aca="false">IF($H351="","",INDEX(Codes!$E$2:$E$108,MATCH("A6|"&amp;$H351,Codes!$A$2:$A$108,0)))</f>
        <v/>
      </c>
      <c r="CB351" s="16" t="str">
        <f aca="false">IF($X351="","",IF($X351="phone",1,0))</f>
        <v/>
      </c>
      <c r="CC351" s="16" t="str">
        <f aca="false">IF($BC351="","",8-$BC351)</f>
        <v/>
      </c>
    </row>
    <row r="352" customFormat="false" ht="15" hidden="false" customHeight="false" outlineLevel="0" collapsed="false">
      <c r="BW352" s="16" t="str">
        <f aca="false">IF($R352="","",INDEX(Codes!$E$2:$E$108,MATCH("B1|"&amp;$R352,Codes!$A$2:$A$108,0)))</f>
        <v/>
      </c>
      <c r="BX352" s="16" t="str">
        <f aca="false">IF($Y352="","",INDEX(Codes!$E$2:$E$108,MATCH("B4|"&amp;$Y352,Codes!$A$2:$A$108,0)))</f>
        <v/>
      </c>
      <c r="BY352" s="16" t="str">
        <f aca="false">IF($I352="","",INDEX(Codes!$E$2:$E$108,MATCH("A7|"&amp;$I352,Codes!$A$2:$A$108,0)))</f>
        <v/>
      </c>
      <c r="BZ352" s="16" t="str">
        <f aca="false">IF($AU352="","",INDEX(Codes!$E$2:$E$108,MATCH("B8|"&amp;$AU352,Codes!$A$2:$A$108,0)))</f>
        <v/>
      </c>
      <c r="CA352" s="16" t="str">
        <f aca="false">IF($H352="","",INDEX(Codes!$E$2:$E$108,MATCH("A6|"&amp;$H352,Codes!$A$2:$A$108,0)))</f>
        <v/>
      </c>
      <c r="CB352" s="16" t="str">
        <f aca="false">IF($X352="","",IF($X352="phone",1,0))</f>
        <v/>
      </c>
      <c r="CC352" s="16" t="str">
        <f aca="false">IF($BC352="","",8-$BC352)</f>
        <v/>
      </c>
    </row>
    <row r="353" customFormat="false" ht="15" hidden="false" customHeight="false" outlineLevel="0" collapsed="false">
      <c r="BW353" s="16" t="str">
        <f aca="false">IF($R353="","",INDEX(Codes!$E$2:$E$108,MATCH("B1|"&amp;$R353,Codes!$A$2:$A$108,0)))</f>
        <v/>
      </c>
      <c r="BX353" s="16" t="str">
        <f aca="false">IF($Y353="","",INDEX(Codes!$E$2:$E$108,MATCH("B4|"&amp;$Y353,Codes!$A$2:$A$108,0)))</f>
        <v/>
      </c>
      <c r="BY353" s="16" t="str">
        <f aca="false">IF($I353="","",INDEX(Codes!$E$2:$E$108,MATCH("A7|"&amp;$I353,Codes!$A$2:$A$108,0)))</f>
        <v/>
      </c>
      <c r="BZ353" s="16" t="str">
        <f aca="false">IF($AU353="","",INDEX(Codes!$E$2:$E$108,MATCH("B8|"&amp;$AU353,Codes!$A$2:$A$108,0)))</f>
        <v/>
      </c>
      <c r="CA353" s="16" t="str">
        <f aca="false">IF($H353="","",INDEX(Codes!$E$2:$E$108,MATCH("A6|"&amp;$H353,Codes!$A$2:$A$108,0)))</f>
        <v/>
      </c>
      <c r="CB353" s="16" t="str">
        <f aca="false">IF($X353="","",IF($X353="phone",1,0))</f>
        <v/>
      </c>
      <c r="CC353" s="16" t="str">
        <f aca="false">IF($BC353="","",8-$BC353)</f>
        <v/>
      </c>
    </row>
    <row r="354" customFormat="false" ht="15" hidden="false" customHeight="false" outlineLevel="0" collapsed="false">
      <c r="BW354" s="16" t="str">
        <f aca="false">IF($R354="","",INDEX(Codes!$E$2:$E$108,MATCH("B1|"&amp;$R354,Codes!$A$2:$A$108,0)))</f>
        <v/>
      </c>
      <c r="BX354" s="16" t="str">
        <f aca="false">IF($Y354="","",INDEX(Codes!$E$2:$E$108,MATCH("B4|"&amp;$Y354,Codes!$A$2:$A$108,0)))</f>
        <v/>
      </c>
      <c r="BY354" s="16" t="str">
        <f aca="false">IF($I354="","",INDEX(Codes!$E$2:$E$108,MATCH("A7|"&amp;$I354,Codes!$A$2:$A$108,0)))</f>
        <v/>
      </c>
      <c r="BZ354" s="16" t="str">
        <f aca="false">IF($AU354="","",INDEX(Codes!$E$2:$E$108,MATCH("B8|"&amp;$AU354,Codes!$A$2:$A$108,0)))</f>
        <v/>
      </c>
      <c r="CA354" s="16" t="str">
        <f aca="false">IF($H354="","",INDEX(Codes!$E$2:$E$108,MATCH("A6|"&amp;$H354,Codes!$A$2:$A$108,0)))</f>
        <v/>
      </c>
      <c r="CB354" s="16" t="str">
        <f aca="false">IF($X354="","",IF($X354="phone",1,0))</f>
        <v/>
      </c>
      <c r="CC354" s="16" t="str">
        <f aca="false">IF($BC354="","",8-$BC354)</f>
        <v/>
      </c>
    </row>
    <row r="355" customFormat="false" ht="15" hidden="false" customHeight="false" outlineLevel="0" collapsed="false">
      <c r="BW355" s="16" t="str">
        <f aca="false">IF($R355="","",INDEX(Codes!$E$2:$E$108,MATCH("B1|"&amp;$R355,Codes!$A$2:$A$108,0)))</f>
        <v/>
      </c>
      <c r="BX355" s="16" t="str">
        <f aca="false">IF($Y355="","",INDEX(Codes!$E$2:$E$108,MATCH("B4|"&amp;$Y355,Codes!$A$2:$A$108,0)))</f>
        <v/>
      </c>
      <c r="BY355" s="16" t="str">
        <f aca="false">IF($I355="","",INDEX(Codes!$E$2:$E$108,MATCH("A7|"&amp;$I355,Codes!$A$2:$A$108,0)))</f>
        <v/>
      </c>
      <c r="BZ355" s="16" t="str">
        <f aca="false">IF($AU355="","",INDEX(Codes!$E$2:$E$108,MATCH("B8|"&amp;$AU355,Codes!$A$2:$A$108,0)))</f>
        <v/>
      </c>
      <c r="CA355" s="16" t="str">
        <f aca="false">IF($H355="","",INDEX(Codes!$E$2:$E$108,MATCH("A6|"&amp;$H355,Codes!$A$2:$A$108,0)))</f>
        <v/>
      </c>
      <c r="CB355" s="16" t="str">
        <f aca="false">IF($X355="","",IF($X355="phone",1,0))</f>
        <v/>
      </c>
      <c r="CC355" s="16" t="str">
        <f aca="false">IF($BC355="","",8-$BC355)</f>
        <v/>
      </c>
    </row>
    <row r="356" customFormat="false" ht="15" hidden="false" customHeight="false" outlineLevel="0" collapsed="false">
      <c r="BW356" s="16" t="str">
        <f aca="false">IF($R356="","",INDEX(Codes!$E$2:$E$108,MATCH("B1|"&amp;$R356,Codes!$A$2:$A$108,0)))</f>
        <v/>
      </c>
      <c r="BX356" s="16" t="str">
        <f aca="false">IF($Y356="","",INDEX(Codes!$E$2:$E$108,MATCH("B4|"&amp;$Y356,Codes!$A$2:$A$108,0)))</f>
        <v/>
      </c>
      <c r="BY356" s="16" t="str">
        <f aca="false">IF($I356="","",INDEX(Codes!$E$2:$E$108,MATCH("A7|"&amp;$I356,Codes!$A$2:$A$108,0)))</f>
        <v/>
      </c>
      <c r="BZ356" s="16" t="str">
        <f aca="false">IF($AU356="","",INDEX(Codes!$E$2:$E$108,MATCH("B8|"&amp;$AU356,Codes!$A$2:$A$108,0)))</f>
        <v/>
      </c>
      <c r="CA356" s="16" t="str">
        <f aca="false">IF($H356="","",INDEX(Codes!$E$2:$E$108,MATCH("A6|"&amp;$H356,Codes!$A$2:$A$108,0)))</f>
        <v/>
      </c>
      <c r="CB356" s="16" t="str">
        <f aca="false">IF($X356="","",IF($X356="phone",1,0))</f>
        <v/>
      </c>
      <c r="CC356" s="16" t="str">
        <f aca="false">IF($BC356="","",8-$BC356)</f>
        <v/>
      </c>
    </row>
    <row r="357" customFormat="false" ht="15" hidden="false" customHeight="false" outlineLevel="0" collapsed="false">
      <c r="BW357" s="16" t="str">
        <f aca="false">IF($R357="","",INDEX(Codes!$E$2:$E$108,MATCH("B1|"&amp;$R357,Codes!$A$2:$A$108,0)))</f>
        <v/>
      </c>
      <c r="BX357" s="16" t="str">
        <f aca="false">IF($Y357="","",INDEX(Codes!$E$2:$E$108,MATCH("B4|"&amp;$Y357,Codes!$A$2:$A$108,0)))</f>
        <v/>
      </c>
      <c r="BY357" s="16" t="str">
        <f aca="false">IF($I357="","",INDEX(Codes!$E$2:$E$108,MATCH("A7|"&amp;$I357,Codes!$A$2:$A$108,0)))</f>
        <v/>
      </c>
      <c r="BZ357" s="16" t="str">
        <f aca="false">IF($AU357="","",INDEX(Codes!$E$2:$E$108,MATCH("B8|"&amp;$AU357,Codes!$A$2:$A$108,0)))</f>
        <v/>
      </c>
      <c r="CA357" s="16" t="str">
        <f aca="false">IF($H357="","",INDEX(Codes!$E$2:$E$108,MATCH("A6|"&amp;$H357,Codes!$A$2:$A$108,0)))</f>
        <v/>
      </c>
      <c r="CB357" s="16" t="str">
        <f aca="false">IF($X357="","",IF($X357="phone",1,0))</f>
        <v/>
      </c>
      <c r="CC357" s="16" t="str">
        <f aca="false">IF($BC357="","",8-$BC357)</f>
        <v/>
      </c>
    </row>
    <row r="358" customFormat="false" ht="15" hidden="false" customHeight="false" outlineLevel="0" collapsed="false">
      <c r="BW358" s="16" t="str">
        <f aca="false">IF($R358="","",INDEX(Codes!$E$2:$E$108,MATCH("B1|"&amp;$R358,Codes!$A$2:$A$108,0)))</f>
        <v/>
      </c>
      <c r="BX358" s="16" t="str">
        <f aca="false">IF($Y358="","",INDEX(Codes!$E$2:$E$108,MATCH("B4|"&amp;$Y358,Codes!$A$2:$A$108,0)))</f>
        <v/>
      </c>
      <c r="BY358" s="16" t="str">
        <f aca="false">IF($I358="","",INDEX(Codes!$E$2:$E$108,MATCH("A7|"&amp;$I358,Codes!$A$2:$A$108,0)))</f>
        <v/>
      </c>
      <c r="BZ358" s="16" t="str">
        <f aca="false">IF($AU358="","",INDEX(Codes!$E$2:$E$108,MATCH("B8|"&amp;$AU358,Codes!$A$2:$A$108,0)))</f>
        <v/>
      </c>
      <c r="CA358" s="16" t="str">
        <f aca="false">IF($H358="","",INDEX(Codes!$E$2:$E$108,MATCH("A6|"&amp;$H358,Codes!$A$2:$A$108,0)))</f>
        <v/>
      </c>
      <c r="CB358" s="16" t="str">
        <f aca="false">IF($X358="","",IF($X358="phone",1,0))</f>
        <v/>
      </c>
      <c r="CC358" s="16" t="str">
        <f aca="false">IF($BC358="","",8-$BC358)</f>
        <v/>
      </c>
    </row>
    <row r="359" customFormat="false" ht="15" hidden="false" customHeight="false" outlineLevel="0" collapsed="false">
      <c r="BW359" s="16" t="str">
        <f aca="false">IF($R359="","",INDEX(Codes!$E$2:$E$108,MATCH("B1|"&amp;$R359,Codes!$A$2:$A$108,0)))</f>
        <v/>
      </c>
      <c r="BX359" s="16" t="str">
        <f aca="false">IF($Y359="","",INDEX(Codes!$E$2:$E$108,MATCH("B4|"&amp;$Y359,Codes!$A$2:$A$108,0)))</f>
        <v/>
      </c>
      <c r="BY359" s="16" t="str">
        <f aca="false">IF($I359="","",INDEX(Codes!$E$2:$E$108,MATCH("A7|"&amp;$I359,Codes!$A$2:$A$108,0)))</f>
        <v/>
      </c>
      <c r="BZ359" s="16" t="str">
        <f aca="false">IF($AU359="","",INDEX(Codes!$E$2:$E$108,MATCH("B8|"&amp;$AU359,Codes!$A$2:$A$108,0)))</f>
        <v/>
      </c>
      <c r="CA359" s="16" t="str">
        <f aca="false">IF($H359="","",INDEX(Codes!$E$2:$E$108,MATCH("A6|"&amp;$H359,Codes!$A$2:$A$108,0)))</f>
        <v/>
      </c>
      <c r="CB359" s="16" t="str">
        <f aca="false">IF($X359="","",IF($X359="phone",1,0))</f>
        <v/>
      </c>
      <c r="CC359" s="16" t="str">
        <f aca="false">IF($BC359="","",8-$BC359)</f>
        <v/>
      </c>
    </row>
    <row r="360" customFormat="false" ht="15" hidden="false" customHeight="false" outlineLevel="0" collapsed="false">
      <c r="BW360" s="16" t="str">
        <f aca="false">IF($R360="","",INDEX(Codes!$E$2:$E$108,MATCH("B1|"&amp;$R360,Codes!$A$2:$A$108,0)))</f>
        <v/>
      </c>
      <c r="BX360" s="16" t="str">
        <f aca="false">IF($Y360="","",INDEX(Codes!$E$2:$E$108,MATCH("B4|"&amp;$Y360,Codes!$A$2:$A$108,0)))</f>
        <v/>
      </c>
      <c r="BY360" s="16" t="str">
        <f aca="false">IF($I360="","",INDEX(Codes!$E$2:$E$108,MATCH("A7|"&amp;$I360,Codes!$A$2:$A$108,0)))</f>
        <v/>
      </c>
      <c r="BZ360" s="16" t="str">
        <f aca="false">IF($AU360="","",INDEX(Codes!$E$2:$E$108,MATCH("B8|"&amp;$AU360,Codes!$A$2:$A$108,0)))</f>
        <v/>
      </c>
      <c r="CA360" s="16" t="str">
        <f aca="false">IF($H360="","",INDEX(Codes!$E$2:$E$108,MATCH("A6|"&amp;$H360,Codes!$A$2:$A$108,0)))</f>
        <v/>
      </c>
      <c r="CB360" s="16" t="str">
        <f aca="false">IF($X360="","",IF($X360="phone",1,0))</f>
        <v/>
      </c>
      <c r="CC360" s="16" t="str">
        <f aca="false">IF($BC360="","",8-$BC360)</f>
        <v/>
      </c>
    </row>
    <row r="361" customFormat="false" ht="15" hidden="false" customHeight="false" outlineLevel="0" collapsed="false">
      <c r="BW361" s="16" t="str">
        <f aca="false">IF($R361="","",INDEX(Codes!$E$2:$E$108,MATCH("B1|"&amp;$R361,Codes!$A$2:$A$108,0)))</f>
        <v/>
      </c>
      <c r="BX361" s="16" t="str">
        <f aca="false">IF($Y361="","",INDEX(Codes!$E$2:$E$108,MATCH("B4|"&amp;$Y361,Codes!$A$2:$A$108,0)))</f>
        <v/>
      </c>
      <c r="BY361" s="16" t="str">
        <f aca="false">IF($I361="","",INDEX(Codes!$E$2:$E$108,MATCH("A7|"&amp;$I361,Codes!$A$2:$A$108,0)))</f>
        <v/>
      </c>
      <c r="BZ361" s="16" t="str">
        <f aca="false">IF($AU361="","",INDEX(Codes!$E$2:$E$108,MATCH("B8|"&amp;$AU361,Codes!$A$2:$A$108,0)))</f>
        <v/>
      </c>
      <c r="CA361" s="16" t="str">
        <f aca="false">IF($H361="","",INDEX(Codes!$E$2:$E$108,MATCH("A6|"&amp;$H361,Codes!$A$2:$A$108,0)))</f>
        <v/>
      </c>
      <c r="CB361" s="16" t="str">
        <f aca="false">IF($X361="","",IF($X361="phone",1,0))</f>
        <v/>
      </c>
      <c r="CC361" s="16" t="str">
        <f aca="false">IF($BC361="","",8-$BC361)</f>
        <v/>
      </c>
    </row>
    <row r="362" customFormat="false" ht="15" hidden="false" customHeight="false" outlineLevel="0" collapsed="false">
      <c r="BW362" s="16" t="str">
        <f aca="false">IF($R362="","",INDEX(Codes!$E$2:$E$108,MATCH("B1|"&amp;$R362,Codes!$A$2:$A$108,0)))</f>
        <v/>
      </c>
      <c r="BX362" s="16" t="str">
        <f aca="false">IF($Y362="","",INDEX(Codes!$E$2:$E$108,MATCH("B4|"&amp;$Y362,Codes!$A$2:$A$108,0)))</f>
        <v/>
      </c>
      <c r="BY362" s="16" t="str">
        <f aca="false">IF($I362="","",INDEX(Codes!$E$2:$E$108,MATCH("A7|"&amp;$I362,Codes!$A$2:$A$108,0)))</f>
        <v/>
      </c>
      <c r="BZ362" s="16" t="str">
        <f aca="false">IF($AU362="","",INDEX(Codes!$E$2:$E$108,MATCH("B8|"&amp;$AU362,Codes!$A$2:$A$108,0)))</f>
        <v/>
      </c>
      <c r="CA362" s="16" t="str">
        <f aca="false">IF($H362="","",INDEX(Codes!$E$2:$E$108,MATCH("A6|"&amp;$H362,Codes!$A$2:$A$108,0)))</f>
        <v/>
      </c>
      <c r="CB362" s="16" t="str">
        <f aca="false">IF($X362="","",IF($X362="phone",1,0))</f>
        <v/>
      </c>
      <c r="CC362" s="16" t="str">
        <f aca="false">IF($BC362="","",8-$BC362)</f>
        <v/>
      </c>
    </row>
    <row r="363" customFormat="false" ht="15" hidden="false" customHeight="false" outlineLevel="0" collapsed="false">
      <c r="BW363" s="16" t="str">
        <f aca="false">IF($R363="","",INDEX(Codes!$E$2:$E$108,MATCH("B1|"&amp;$R363,Codes!$A$2:$A$108,0)))</f>
        <v/>
      </c>
      <c r="BX363" s="16" t="str">
        <f aca="false">IF($Y363="","",INDEX(Codes!$E$2:$E$108,MATCH("B4|"&amp;$Y363,Codes!$A$2:$A$108,0)))</f>
        <v/>
      </c>
      <c r="BY363" s="16" t="str">
        <f aca="false">IF($I363="","",INDEX(Codes!$E$2:$E$108,MATCH("A7|"&amp;$I363,Codes!$A$2:$A$108,0)))</f>
        <v/>
      </c>
      <c r="BZ363" s="16" t="str">
        <f aca="false">IF($AU363="","",INDEX(Codes!$E$2:$E$108,MATCH("B8|"&amp;$AU363,Codes!$A$2:$A$108,0)))</f>
        <v/>
      </c>
      <c r="CA363" s="16" t="str">
        <f aca="false">IF($H363="","",INDEX(Codes!$E$2:$E$108,MATCH("A6|"&amp;$H363,Codes!$A$2:$A$108,0)))</f>
        <v/>
      </c>
      <c r="CB363" s="16" t="str">
        <f aca="false">IF($X363="","",IF($X363="phone",1,0))</f>
        <v/>
      </c>
      <c r="CC363" s="16" t="str">
        <f aca="false">IF($BC363="","",8-$BC363)</f>
        <v/>
      </c>
    </row>
    <row r="364" customFormat="false" ht="15" hidden="false" customHeight="false" outlineLevel="0" collapsed="false">
      <c r="BW364" s="16" t="str">
        <f aca="false">IF($R364="","",INDEX(Codes!$E$2:$E$108,MATCH("B1|"&amp;$R364,Codes!$A$2:$A$108,0)))</f>
        <v/>
      </c>
      <c r="BX364" s="16" t="str">
        <f aca="false">IF($Y364="","",INDEX(Codes!$E$2:$E$108,MATCH("B4|"&amp;$Y364,Codes!$A$2:$A$108,0)))</f>
        <v/>
      </c>
      <c r="BY364" s="16" t="str">
        <f aca="false">IF($I364="","",INDEX(Codes!$E$2:$E$108,MATCH("A7|"&amp;$I364,Codes!$A$2:$A$108,0)))</f>
        <v/>
      </c>
      <c r="BZ364" s="16" t="str">
        <f aca="false">IF($AU364="","",INDEX(Codes!$E$2:$E$108,MATCH("B8|"&amp;$AU364,Codes!$A$2:$A$108,0)))</f>
        <v/>
      </c>
      <c r="CA364" s="16" t="str">
        <f aca="false">IF($H364="","",INDEX(Codes!$E$2:$E$108,MATCH("A6|"&amp;$H364,Codes!$A$2:$A$108,0)))</f>
        <v/>
      </c>
      <c r="CB364" s="16" t="str">
        <f aca="false">IF($X364="","",IF($X364="phone",1,0))</f>
        <v/>
      </c>
      <c r="CC364" s="16" t="str">
        <f aca="false">IF($BC364="","",8-$BC364)</f>
        <v/>
      </c>
    </row>
    <row r="365" customFormat="false" ht="15" hidden="false" customHeight="false" outlineLevel="0" collapsed="false">
      <c r="BW365" s="16" t="str">
        <f aca="false">IF($R365="","",INDEX(Codes!$E$2:$E$108,MATCH("B1|"&amp;$R365,Codes!$A$2:$A$108,0)))</f>
        <v/>
      </c>
      <c r="BX365" s="16" t="str">
        <f aca="false">IF($Y365="","",INDEX(Codes!$E$2:$E$108,MATCH("B4|"&amp;$Y365,Codes!$A$2:$A$108,0)))</f>
        <v/>
      </c>
      <c r="BY365" s="16" t="str">
        <f aca="false">IF($I365="","",INDEX(Codes!$E$2:$E$108,MATCH("A7|"&amp;$I365,Codes!$A$2:$A$108,0)))</f>
        <v/>
      </c>
      <c r="BZ365" s="16" t="str">
        <f aca="false">IF($AU365="","",INDEX(Codes!$E$2:$E$108,MATCH("B8|"&amp;$AU365,Codes!$A$2:$A$108,0)))</f>
        <v/>
      </c>
      <c r="CA365" s="16" t="str">
        <f aca="false">IF($H365="","",INDEX(Codes!$E$2:$E$108,MATCH("A6|"&amp;$H365,Codes!$A$2:$A$108,0)))</f>
        <v/>
      </c>
      <c r="CB365" s="16" t="str">
        <f aca="false">IF($X365="","",IF($X365="phone",1,0))</f>
        <v/>
      </c>
      <c r="CC365" s="16" t="str">
        <f aca="false">IF($BC365="","",8-$BC365)</f>
        <v/>
      </c>
    </row>
    <row r="366" customFormat="false" ht="15" hidden="false" customHeight="false" outlineLevel="0" collapsed="false">
      <c r="BW366" s="16" t="str">
        <f aca="false">IF($R366="","",INDEX(Codes!$E$2:$E$108,MATCH("B1|"&amp;$R366,Codes!$A$2:$A$108,0)))</f>
        <v/>
      </c>
      <c r="BX366" s="16" t="str">
        <f aca="false">IF($Y366="","",INDEX(Codes!$E$2:$E$108,MATCH("B4|"&amp;$Y366,Codes!$A$2:$A$108,0)))</f>
        <v/>
      </c>
      <c r="BY366" s="16" t="str">
        <f aca="false">IF($I366="","",INDEX(Codes!$E$2:$E$108,MATCH("A7|"&amp;$I366,Codes!$A$2:$A$108,0)))</f>
        <v/>
      </c>
      <c r="BZ366" s="16" t="str">
        <f aca="false">IF($AU366="","",INDEX(Codes!$E$2:$E$108,MATCH("B8|"&amp;$AU366,Codes!$A$2:$A$108,0)))</f>
        <v/>
      </c>
      <c r="CA366" s="16" t="str">
        <f aca="false">IF($H366="","",INDEX(Codes!$E$2:$E$108,MATCH("A6|"&amp;$H366,Codes!$A$2:$A$108,0)))</f>
        <v/>
      </c>
      <c r="CB366" s="16" t="str">
        <f aca="false">IF($X366="","",IF($X366="phone",1,0))</f>
        <v/>
      </c>
      <c r="CC366" s="16" t="str">
        <f aca="false">IF($BC366="","",8-$BC366)</f>
        <v/>
      </c>
    </row>
    <row r="367" customFormat="false" ht="15" hidden="false" customHeight="false" outlineLevel="0" collapsed="false">
      <c r="BW367" s="16" t="str">
        <f aca="false">IF($R367="","",INDEX(Codes!$E$2:$E$108,MATCH("B1|"&amp;$R367,Codes!$A$2:$A$108,0)))</f>
        <v/>
      </c>
      <c r="BX367" s="16" t="str">
        <f aca="false">IF($Y367="","",INDEX(Codes!$E$2:$E$108,MATCH("B4|"&amp;$Y367,Codes!$A$2:$A$108,0)))</f>
        <v/>
      </c>
      <c r="BY367" s="16" t="str">
        <f aca="false">IF($I367="","",INDEX(Codes!$E$2:$E$108,MATCH("A7|"&amp;$I367,Codes!$A$2:$A$108,0)))</f>
        <v/>
      </c>
      <c r="BZ367" s="16" t="str">
        <f aca="false">IF($AU367="","",INDEX(Codes!$E$2:$E$108,MATCH("B8|"&amp;$AU367,Codes!$A$2:$A$108,0)))</f>
        <v/>
      </c>
      <c r="CA367" s="16" t="str">
        <f aca="false">IF($H367="","",INDEX(Codes!$E$2:$E$108,MATCH("A6|"&amp;$H367,Codes!$A$2:$A$108,0)))</f>
        <v/>
      </c>
      <c r="CB367" s="16" t="str">
        <f aca="false">IF($X367="","",IF($X367="phone",1,0))</f>
        <v/>
      </c>
      <c r="CC367" s="16" t="str">
        <f aca="false">IF($BC367="","",8-$BC367)</f>
        <v/>
      </c>
    </row>
    <row r="368" customFormat="false" ht="15" hidden="false" customHeight="false" outlineLevel="0" collapsed="false">
      <c r="BW368" s="16" t="str">
        <f aca="false">IF($R368="","",INDEX(Codes!$E$2:$E$108,MATCH("B1|"&amp;$R368,Codes!$A$2:$A$108,0)))</f>
        <v/>
      </c>
      <c r="BX368" s="16" t="str">
        <f aca="false">IF($Y368="","",INDEX(Codes!$E$2:$E$108,MATCH("B4|"&amp;$Y368,Codes!$A$2:$A$108,0)))</f>
        <v/>
      </c>
      <c r="BY368" s="16" t="str">
        <f aca="false">IF($I368="","",INDEX(Codes!$E$2:$E$108,MATCH("A7|"&amp;$I368,Codes!$A$2:$A$108,0)))</f>
        <v/>
      </c>
      <c r="BZ368" s="16" t="str">
        <f aca="false">IF($AU368="","",INDEX(Codes!$E$2:$E$108,MATCH("B8|"&amp;$AU368,Codes!$A$2:$A$108,0)))</f>
        <v/>
      </c>
      <c r="CA368" s="16" t="str">
        <f aca="false">IF($H368="","",INDEX(Codes!$E$2:$E$108,MATCH("A6|"&amp;$H368,Codes!$A$2:$A$108,0)))</f>
        <v/>
      </c>
      <c r="CB368" s="16" t="str">
        <f aca="false">IF($X368="","",IF($X368="phone",1,0))</f>
        <v/>
      </c>
      <c r="CC368" s="16" t="str">
        <f aca="false">IF($BC368="","",8-$BC368)</f>
        <v/>
      </c>
    </row>
    <row r="369" customFormat="false" ht="15" hidden="false" customHeight="false" outlineLevel="0" collapsed="false">
      <c r="BW369" s="16" t="str">
        <f aca="false">IF($R369="","",INDEX(Codes!$E$2:$E$108,MATCH("B1|"&amp;$R369,Codes!$A$2:$A$108,0)))</f>
        <v/>
      </c>
      <c r="BX369" s="16" t="str">
        <f aca="false">IF($Y369="","",INDEX(Codes!$E$2:$E$108,MATCH("B4|"&amp;$Y369,Codes!$A$2:$A$108,0)))</f>
        <v/>
      </c>
      <c r="BY369" s="16" t="str">
        <f aca="false">IF($I369="","",INDEX(Codes!$E$2:$E$108,MATCH("A7|"&amp;$I369,Codes!$A$2:$A$108,0)))</f>
        <v/>
      </c>
      <c r="BZ369" s="16" t="str">
        <f aca="false">IF($AU369="","",INDEX(Codes!$E$2:$E$108,MATCH("B8|"&amp;$AU369,Codes!$A$2:$A$108,0)))</f>
        <v/>
      </c>
      <c r="CA369" s="16" t="str">
        <f aca="false">IF($H369="","",INDEX(Codes!$E$2:$E$108,MATCH("A6|"&amp;$H369,Codes!$A$2:$A$108,0)))</f>
        <v/>
      </c>
      <c r="CB369" s="16" t="str">
        <f aca="false">IF($X369="","",IF($X369="phone",1,0))</f>
        <v/>
      </c>
      <c r="CC369" s="16" t="str">
        <f aca="false">IF($BC369="","",8-$BC369)</f>
        <v/>
      </c>
    </row>
    <row r="370" customFormat="false" ht="15" hidden="false" customHeight="false" outlineLevel="0" collapsed="false">
      <c r="BW370" s="16" t="str">
        <f aca="false">IF($R370="","",INDEX(Codes!$E$2:$E$108,MATCH("B1|"&amp;$R370,Codes!$A$2:$A$108,0)))</f>
        <v/>
      </c>
      <c r="BX370" s="16" t="str">
        <f aca="false">IF($Y370="","",INDEX(Codes!$E$2:$E$108,MATCH("B4|"&amp;$Y370,Codes!$A$2:$A$108,0)))</f>
        <v/>
      </c>
      <c r="BY370" s="16" t="str">
        <f aca="false">IF($I370="","",INDEX(Codes!$E$2:$E$108,MATCH("A7|"&amp;$I370,Codes!$A$2:$A$108,0)))</f>
        <v/>
      </c>
      <c r="BZ370" s="16" t="str">
        <f aca="false">IF($AU370="","",INDEX(Codes!$E$2:$E$108,MATCH("B8|"&amp;$AU370,Codes!$A$2:$A$108,0)))</f>
        <v/>
      </c>
      <c r="CA370" s="16" t="str">
        <f aca="false">IF($H370="","",INDEX(Codes!$E$2:$E$108,MATCH("A6|"&amp;$H370,Codes!$A$2:$A$108,0)))</f>
        <v/>
      </c>
      <c r="CB370" s="16" t="str">
        <f aca="false">IF($X370="","",IF($X370="phone",1,0))</f>
        <v/>
      </c>
      <c r="CC370" s="16" t="str">
        <f aca="false">IF($BC370="","",8-$BC370)</f>
        <v/>
      </c>
    </row>
    <row r="371" customFormat="false" ht="15" hidden="false" customHeight="false" outlineLevel="0" collapsed="false">
      <c r="BW371" s="16" t="str">
        <f aca="false">IF($R371="","",INDEX(Codes!$E$2:$E$108,MATCH("B1|"&amp;$R371,Codes!$A$2:$A$108,0)))</f>
        <v/>
      </c>
      <c r="BX371" s="16" t="str">
        <f aca="false">IF($Y371="","",INDEX(Codes!$E$2:$E$108,MATCH("B4|"&amp;$Y371,Codes!$A$2:$A$108,0)))</f>
        <v/>
      </c>
      <c r="BY371" s="16" t="str">
        <f aca="false">IF($I371="","",INDEX(Codes!$E$2:$E$108,MATCH("A7|"&amp;$I371,Codes!$A$2:$A$108,0)))</f>
        <v/>
      </c>
      <c r="BZ371" s="16" t="str">
        <f aca="false">IF($AU371="","",INDEX(Codes!$E$2:$E$108,MATCH("B8|"&amp;$AU371,Codes!$A$2:$A$108,0)))</f>
        <v/>
      </c>
      <c r="CA371" s="16" t="str">
        <f aca="false">IF($H371="","",INDEX(Codes!$E$2:$E$108,MATCH("A6|"&amp;$H371,Codes!$A$2:$A$108,0)))</f>
        <v/>
      </c>
      <c r="CB371" s="16" t="str">
        <f aca="false">IF($X371="","",IF($X371="phone",1,0))</f>
        <v/>
      </c>
      <c r="CC371" s="16" t="str">
        <f aca="false">IF($BC371="","",8-$BC371)</f>
        <v/>
      </c>
    </row>
    <row r="372" customFormat="false" ht="15" hidden="false" customHeight="false" outlineLevel="0" collapsed="false">
      <c r="BW372" s="16" t="str">
        <f aca="false">IF($R372="","",INDEX(Codes!$E$2:$E$108,MATCH("B1|"&amp;$R372,Codes!$A$2:$A$108,0)))</f>
        <v/>
      </c>
      <c r="BX372" s="16" t="str">
        <f aca="false">IF($Y372="","",INDEX(Codes!$E$2:$E$108,MATCH("B4|"&amp;$Y372,Codes!$A$2:$A$108,0)))</f>
        <v/>
      </c>
      <c r="BY372" s="16" t="str">
        <f aca="false">IF($I372="","",INDEX(Codes!$E$2:$E$108,MATCH("A7|"&amp;$I372,Codes!$A$2:$A$108,0)))</f>
        <v/>
      </c>
      <c r="BZ372" s="16" t="str">
        <f aca="false">IF($AU372="","",INDEX(Codes!$E$2:$E$108,MATCH("B8|"&amp;$AU372,Codes!$A$2:$A$108,0)))</f>
        <v/>
      </c>
      <c r="CA372" s="16" t="str">
        <f aca="false">IF($H372="","",INDEX(Codes!$E$2:$E$108,MATCH("A6|"&amp;$H372,Codes!$A$2:$A$108,0)))</f>
        <v/>
      </c>
      <c r="CB372" s="16" t="str">
        <f aca="false">IF($X372="","",IF($X372="phone",1,0))</f>
        <v/>
      </c>
      <c r="CC372" s="16" t="str">
        <f aca="false">IF($BC372="","",8-$BC372)</f>
        <v/>
      </c>
    </row>
    <row r="373" customFormat="false" ht="15" hidden="false" customHeight="false" outlineLevel="0" collapsed="false">
      <c r="BW373" s="16" t="str">
        <f aca="false">IF($R373="","",INDEX(Codes!$E$2:$E$108,MATCH("B1|"&amp;$R373,Codes!$A$2:$A$108,0)))</f>
        <v/>
      </c>
      <c r="BX373" s="16" t="str">
        <f aca="false">IF($Y373="","",INDEX(Codes!$E$2:$E$108,MATCH("B4|"&amp;$Y373,Codes!$A$2:$A$108,0)))</f>
        <v/>
      </c>
      <c r="BY373" s="16" t="str">
        <f aca="false">IF($I373="","",INDEX(Codes!$E$2:$E$108,MATCH("A7|"&amp;$I373,Codes!$A$2:$A$108,0)))</f>
        <v/>
      </c>
      <c r="BZ373" s="16" t="str">
        <f aca="false">IF($AU373="","",INDEX(Codes!$E$2:$E$108,MATCH("B8|"&amp;$AU373,Codes!$A$2:$A$108,0)))</f>
        <v/>
      </c>
      <c r="CA373" s="16" t="str">
        <f aca="false">IF($H373="","",INDEX(Codes!$E$2:$E$108,MATCH("A6|"&amp;$H373,Codes!$A$2:$A$108,0)))</f>
        <v/>
      </c>
      <c r="CB373" s="16" t="str">
        <f aca="false">IF($X373="","",IF($X373="phone",1,0))</f>
        <v/>
      </c>
      <c r="CC373" s="16" t="str">
        <f aca="false">IF($BC373="","",8-$BC373)</f>
        <v/>
      </c>
    </row>
    <row r="374" customFormat="false" ht="15" hidden="false" customHeight="false" outlineLevel="0" collapsed="false">
      <c r="BW374" s="16" t="str">
        <f aca="false">IF($R374="","",INDEX(Codes!$E$2:$E$108,MATCH("B1|"&amp;$R374,Codes!$A$2:$A$108,0)))</f>
        <v/>
      </c>
      <c r="BX374" s="16" t="str">
        <f aca="false">IF($Y374="","",INDEX(Codes!$E$2:$E$108,MATCH("B4|"&amp;$Y374,Codes!$A$2:$A$108,0)))</f>
        <v/>
      </c>
      <c r="BY374" s="16" t="str">
        <f aca="false">IF($I374="","",INDEX(Codes!$E$2:$E$108,MATCH("A7|"&amp;$I374,Codes!$A$2:$A$108,0)))</f>
        <v/>
      </c>
      <c r="BZ374" s="16" t="str">
        <f aca="false">IF($AU374="","",INDEX(Codes!$E$2:$E$108,MATCH("B8|"&amp;$AU374,Codes!$A$2:$A$108,0)))</f>
        <v/>
      </c>
      <c r="CA374" s="16" t="str">
        <f aca="false">IF($H374="","",INDEX(Codes!$E$2:$E$108,MATCH("A6|"&amp;$H374,Codes!$A$2:$A$108,0)))</f>
        <v/>
      </c>
      <c r="CB374" s="16" t="str">
        <f aca="false">IF($X374="","",IF($X374="phone",1,0))</f>
        <v/>
      </c>
      <c r="CC374" s="16" t="str">
        <f aca="false">IF($BC374="","",8-$BC374)</f>
        <v/>
      </c>
    </row>
    <row r="375" customFormat="false" ht="15" hidden="false" customHeight="false" outlineLevel="0" collapsed="false">
      <c r="BW375" s="16" t="str">
        <f aca="false">IF($R375="","",INDEX(Codes!$E$2:$E$108,MATCH("B1|"&amp;$R375,Codes!$A$2:$A$108,0)))</f>
        <v/>
      </c>
      <c r="BX375" s="16" t="str">
        <f aca="false">IF($Y375="","",INDEX(Codes!$E$2:$E$108,MATCH("B4|"&amp;$Y375,Codes!$A$2:$A$108,0)))</f>
        <v/>
      </c>
      <c r="BY375" s="16" t="str">
        <f aca="false">IF($I375="","",INDEX(Codes!$E$2:$E$108,MATCH("A7|"&amp;$I375,Codes!$A$2:$A$108,0)))</f>
        <v/>
      </c>
      <c r="BZ375" s="16" t="str">
        <f aca="false">IF($AU375="","",INDEX(Codes!$E$2:$E$108,MATCH("B8|"&amp;$AU375,Codes!$A$2:$A$108,0)))</f>
        <v/>
      </c>
      <c r="CA375" s="16" t="str">
        <f aca="false">IF($H375="","",INDEX(Codes!$E$2:$E$108,MATCH("A6|"&amp;$H375,Codes!$A$2:$A$108,0)))</f>
        <v/>
      </c>
      <c r="CB375" s="16" t="str">
        <f aca="false">IF($X375="","",IF($X375="phone",1,0))</f>
        <v/>
      </c>
      <c r="CC375" s="16" t="str">
        <f aca="false">IF($BC375="","",8-$BC375)</f>
        <v/>
      </c>
    </row>
    <row r="376" customFormat="false" ht="15" hidden="false" customHeight="false" outlineLevel="0" collapsed="false">
      <c r="BW376" s="16" t="str">
        <f aca="false">IF($R376="","",INDEX(Codes!$E$2:$E$108,MATCH("B1|"&amp;$R376,Codes!$A$2:$A$108,0)))</f>
        <v/>
      </c>
      <c r="BX376" s="16" t="str">
        <f aca="false">IF($Y376="","",INDEX(Codes!$E$2:$E$108,MATCH("B4|"&amp;$Y376,Codes!$A$2:$A$108,0)))</f>
        <v/>
      </c>
      <c r="BY376" s="16" t="str">
        <f aca="false">IF($I376="","",INDEX(Codes!$E$2:$E$108,MATCH("A7|"&amp;$I376,Codes!$A$2:$A$108,0)))</f>
        <v/>
      </c>
      <c r="BZ376" s="16" t="str">
        <f aca="false">IF($AU376="","",INDEX(Codes!$E$2:$E$108,MATCH("B8|"&amp;$AU376,Codes!$A$2:$A$108,0)))</f>
        <v/>
      </c>
      <c r="CA376" s="16" t="str">
        <f aca="false">IF($H376="","",INDEX(Codes!$E$2:$E$108,MATCH("A6|"&amp;$H376,Codes!$A$2:$A$108,0)))</f>
        <v/>
      </c>
      <c r="CB376" s="16" t="str">
        <f aca="false">IF($X376="","",IF($X376="phone",1,0))</f>
        <v/>
      </c>
      <c r="CC376" s="16" t="str">
        <f aca="false">IF($BC376="","",8-$BC376)</f>
        <v/>
      </c>
    </row>
    <row r="377" customFormat="false" ht="15" hidden="false" customHeight="false" outlineLevel="0" collapsed="false">
      <c r="BW377" s="16" t="str">
        <f aca="false">IF($R377="","",INDEX(Codes!$E$2:$E$108,MATCH("B1|"&amp;$R377,Codes!$A$2:$A$108,0)))</f>
        <v/>
      </c>
      <c r="BX377" s="16" t="str">
        <f aca="false">IF($Y377="","",INDEX(Codes!$E$2:$E$108,MATCH("B4|"&amp;$Y377,Codes!$A$2:$A$108,0)))</f>
        <v/>
      </c>
      <c r="BY377" s="16" t="str">
        <f aca="false">IF($I377="","",INDEX(Codes!$E$2:$E$108,MATCH("A7|"&amp;$I377,Codes!$A$2:$A$108,0)))</f>
        <v/>
      </c>
      <c r="BZ377" s="16" t="str">
        <f aca="false">IF($AU377="","",INDEX(Codes!$E$2:$E$108,MATCH("B8|"&amp;$AU377,Codes!$A$2:$A$108,0)))</f>
        <v/>
      </c>
      <c r="CA377" s="16" t="str">
        <f aca="false">IF($H377="","",INDEX(Codes!$E$2:$E$108,MATCH("A6|"&amp;$H377,Codes!$A$2:$A$108,0)))</f>
        <v/>
      </c>
      <c r="CB377" s="16" t="str">
        <f aca="false">IF($X377="","",IF($X377="phone",1,0))</f>
        <v/>
      </c>
      <c r="CC377" s="16" t="str">
        <f aca="false">IF($BC377="","",8-$BC377)</f>
        <v/>
      </c>
    </row>
    <row r="378" customFormat="false" ht="15" hidden="false" customHeight="false" outlineLevel="0" collapsed="false">
      <c r="BW378" s="16" t="str">
        <f aca="false">IF($R378="","",INDEX(Codes!$E$2:$E$108,MATCH("B1|"&amp;$R378,Codes!$A$2:$A$108,0)))</f>
        <v/>
      </c>
      <c r="BX378" s="16" t="str">
        <f aca="false">IF($Y378="","",INDEX(Codes!$E$2:$E$108,MATCH("B4|"&amp;$Y378,Codes!$A$2:$A$108,0)))</f>
        <v/>
      </c>
      <c r="BY378" s="16" t="str">
        <f aca="false">IF($I378="","",INDEX(Codes!$E$2:$E$108,MATCH("A7|"&amp;$I378,Codes!$A$2:$A$108,0)))</f>
        <v/>
      </c>
      <c r="BZ378" s="16" t="str">
        <f aca="false">IF($AU378="","",INDEX(Codes!$E$2:$E$108,MATCH("B8|"&amp;$AU378,Codes!$A$2:$A$108,0)))</f>
        <v/>
      </c>
      <c r="CA378" s="16" t="str">
        <f aca="false">IF($H378="","",INDEX(Codes!$E$2:$E$108,MATCH("A6|"&amp;$H378,Codes!$A$2:$A$108,0)))</f>
        <v/>
      </c>
      <c r="CB378" s="16" t="str">
        <f aca="false">IF($X378="","",IF($X378="phone",1,0))</f>
        <v/>
      </c>
      <c r="CC378" s="16" t="str">
        <f aca="false">IF($BC378="","",8-$BC378)</f>
        <v/>
      </c>
    </row>
    <row r="379" customFormat="false" ht="15" hidden="false" customHeight="false" outlineLevel="0" collapsed="false">
      <c r="BW379" s="16" t="str">
        <f aca="false">IF($R379="","",INDEX(Codes!$E$2:$E$108,MATCH("B1|"&amp;$R379,Codes!$A$2:$A$108,0)))</f>
        <v/>
      </c>
      <c r="BX379" s="16" t="str">
        <f aca="false">IF($Y379="","",INDEX(Codes!$E$2:$E$108,MATCH("B4|"&amp;$Y379,Codes!$A$2:$A$108,0)))</f>
        <v/>
      </c>
      <c r="BY379" s="16" t="str">
        <f aca="false">IF($I379="","",INDEX(Codes!$E$2:$E$108,MATCH("A7|"&amp;$I379,Codes!$A$2:$A$108,0)))</f>
        <v/>
      </c>
      <c r="BZ379" s="16" t="str">
        <f aca="false">IF($AU379="","",INDEX(Codes!$E$2:$E$108,MATCH("B8|"&amp;$AU379,Codes!$A$2:$A$108,0)))</f>
        <v/>
      </c>
      <c r="CA379" s="16" t="str">
        <f aca="false">IF($H379="","",INDEX(Codes!$E$2:$E$108,MATCH("A6|"&amp;$H379,Codes!$A$2:$A$108,0)))</f>
        <v/>
      </c>
      <c r="CB379" s="16" t="str">
        <f aca="false">IF($X379="","",IF($X379="phone",1,0))</f>
        <v/>
      </c>
      <c r="CC379" s="16" t="str">
        <f aca="false">IF($BC379="","",8-$BC379)</f>
        <v/>
      </c>
    </row>
    <row r="380" customFormat="false" ht="15" hidden="false" customHeight="false" outlineLevel="0" collapsed="false">
      <c r="BW380" s="16" t="str">
        <f aca="false">IF($R380="","",INDEX(Codes!$E$2:$E$108,MATCH("B1|"&amp;$R380,Codes!$A$2:$A$108,0)))</f>
        <v/>
      </c>
      <c r="BX380" s="16" t="str">
        <f aca="false">IF($Y380="","",INDEX(Codes!$E$2:$E$108,MATCH("B4|"&amp;$Y380,Codes!$A$2:$A$108,0)))</f>
        <v/>
      </c>
      <c r="BY380" s="16" t="str">
        <f aca="false">IF($I380="","",INDEX(Codes!$E$2:$E$108,MATCH("A7|"&amp;$I380,Codes!$A$2:$A$108,0)))</f>
        <v/>
      </c>
      <c r="BZ380" s="16" t="str">
        <f aca="false">IF($AU380="","",INDEX(Codes!$E$2:$E$108,MATCH("B8|"&amp;$AU380,Codes!$A$2:$A$108,0)))</f>
        <v/>
      </c>
      <c r="CA380" s="16" t="str">
        <f aca="false">IF($H380="","",INDEX(Codes!$E$2:$E$108,MATCH("A6|"&amp;$H380,Codes!$A$2:$A$108,0)))</f>
        <v/>
      </c>
      <c r="CB380" s="16" t="str">
        <f aca="false">IF($X380="","",IF($X380="phone",1,0))</f>
        <v/>
      </c>
      <c r="CC380" s="16" t="str">
        <f aca="false">IF($BC380="","",8-$BC380)</f>
        <v/>
      </c>
    </row>
    <row r="381" customFormat="false" ht="15" hidden="false" customHeight="false" outlineLevel="0" collapsed="false">
      <c r="BW381" s="16" t="str">
        <f aca="false">IF($R381="","",INDEX(Codes!$E$2:$E$108,MATCH("B1|"&amp;$R381,Codes!$A$2:$A$108,0)))</f>
        <v/>
      </c>
      <c r="BX381" s="16" t="str">
        <f aca="false">IF($Y381="","",INDEX(Codes!$E$2:$E$108,MATCH("B4|"&amp;$Y381,Codes!$A$2:$A$108,0)))</f>
        <v/>
      </c>
      <c r="BY381" s="16" t="str">
        <f aca="false">IF($I381="","",INDEX(Codes!$E$2:$E$108,MATCH("A7|"&amp;$I381,Codes!$A$2:$A$108,0)))</f>
        <v/>
      </c>
      <c r="BZ381" s="16" t="str">
        <f aca="false">IF($AU381="","",INDEX(Codes!$E$2:$E$108,MATCH("B8|"&amp;$AU381,Codes!$A$2:$A$108,0)))</f>
        <v/>
      </c>
      <c r="CA381" s="16" t="str">
        <f aca="false">IF($H381="","",INDEX(Codes!$E$2:$E$108,MATCH("A6|"&amp;$H381,Codes!$A$2:$A$108,0)))</f>
        <v/>
      </c>
      <c r="CB381" s="16" t="str">
        <f aca="false">IF($X381="","",IF($X381="phone",1,0))</f>
        <v/>
      </c>
      <c r="CC381" s="16" t="str">
        <f aca="false">IF($BC381="","",8-$BC381)</f>
        <v/>
      </c>
    </row>
    <row r="382" customFormat="false" ht="15" hidden="false" customHeight="false" outlineLevel="0" collapsed="false">
      <c r="BW382" s="16" t="str">
        <f aca="false">IF($R382="","",INDEX(Codes!$E$2:$E$108,MATCH("B1|"&amp;$R382,Codes!$A$2:$A$108,0)))</f>
        <v/>
      </c>
      <c r="BX382" s="16" t="str">
        <f aca="false">IF($Y382="","",INDEX(Codes!$E$2:$E$108,MATCH("B4|"&amp;$Y382,Codes!$A$2:$A$108,0)))</f>
        <v/>
      </c>
      <c r="BY382" s="16" t="str">
        <f aca="false">IF($I382="","",INDEX(Codes!$E$2:$E$108,MATCH("A7|"&amp;$I382,Codes!$A$2:$A$108,0)))</f>
        <v/>
      </c>
      <c r="BZ382" s="16" t="str">
        <f aca="false">IF($AU382="","",INDEX(Codes!$E$2:$E$108,MATCH("B8|"&amp;$AU382,Codes!$A$2:$A$108,0)))</f>
        <v/>
      </c>
      <c r="CA382" s="16" t="str">
        <f aca="false">IF($H382="","",INDEX(Codes!$E$2:$E$108,MATCH("A6|"&amp;$H382,Codes!$A$2:$A$108,0)))</f>
        <v/>
      </c>
      <c r="CB382" s="16" t="str">
        <f aca="false">IF($X382="","",IF($X382="phone",1,0))</f>
        <v/>
      </c>
      <c r="CC382" s="16" t="str">
        <f aca="false">IF($BC382="","",8-$BC382)</f>
        <v/>
      </c>
    </row>
    <row r="383" customFormat="false" ht="15" hidden="false" customHeight="false" outlineLevel="0" collapsed="false">
      <c r="BW383" s="16" t="str">
        <f aca="false">IF($R383="","",INDEX(Codes!$E$2:$E$108,MATCH("B1|"&amp;$R383,Codes!$A$2:$A$108,0)))</f>
        <v/>
      </c>
      <c r="BX383" s="16" t="str">
        <f aca="false">IF($Y383="","",INDEX(Codes!$E$2:$E$108,MATCH("B4|"&amp;$Y383,Codes!$A$2:$A$108,0)))</f>
        <v/>
      </c>
      <c r="BY383" s="16" t="str">
        <f aca="false">IF($I383="","",INDEX(Codes!$E$2:$E$108,MATCH("A7|"&amp;$I383,Codes!$A$2:$A$108,0)))</f>
        <v/>
      </c>
      <c r="BZ383" s="16" t="str">
        <f aca="false">IF($AU383="","",INDEX(Codes!$E$2:$E$108,MATCH("B8|"&amp;$AU383,Codes!$A$2:$A$108,0)))</f>
        <v/>
      </c>
      <c r="CA383" s="16" t="str">
        <f aca="false">IF($H383="","",INDEX(Codes!$E$2:$E$108,MATCH("A6|"&amp;$H383,Codes!$A$2:$A$108,0)))</f>
        <v/>
      </c>
      <c r="CB383" s="16" t="str">
        <f aca="false">IF($X383="","",IF($X383="phone",1,0))</f>
        <v/>
      </c>
      <c r="CC383" s="16" t="str">
        <f aca="false">IF($BC383="","",8-$BC383)</f>
        <v/>
      </c>
    </row>
    <row r="384" customFormat="false" ht="15" hidden="false" customHeight="false" outlineLevel="0" collapsed="false">
      <c r="BW384" s="16" t="str">
        <f aca="false">IF($R384="","",INDEX(Codes!$E$2:$E$108,MATCH("B1|"&amp;$R384,Codes!$A$2:$A$108,0)))</f>
        <v/>
      </c>
      <c r="BX384" s="16" t="str">
        <f aca="false">IF($Y384="","",INDEX(Codes!$E$2:$E$108,MATCH("B4|"&amp;$Y384,Codes!$A$2:$A$108,0)))</f>
        <v/>
      </c>
      <c r="BY384" s="16" t="str">
        <f aca="false">IF($I384="","",INDEX(Codes!$E$2:$E$108,MATCH("A7|"&amp;$I384,Codes!$A$2:$A$108,0)))</f>
        <v/>
      </c>
      <c r="BZ384" s="16" t="str">
        <f aca="false">IF($AU384="","",INDEX(Codes!$E$2:$E$108,MATCH("B8|"&amp;$AU384,Codes!$A$2:$A$108,0)))</f>
        <v/>
      </c>
      <c r="CA384" s="16" t="str">
        <f aca="false">IF($H384="","",INDEX(Codes!$E$2:$E$108,MATCH("A6|"&amp;$H384,Codes!$A$2:$A$108,0)))</f>
        <v/>
      </c>
      <c r="CB384" s="16" t="str">
        <f aca="false">IF($X384="","",IF($X384="phone",1,0))</f>
        <v/>
      </c>
      <c r="CC384" s="16" t="str">
        <f aca="false">IF($BC384="","",8-$BC384)</f>
        <v/>
      </c>
    </row>
    <row r="385" customFormat="false" ht="15" hidden="false" customHeight="false" outlineLevel="0" collapsed="false">
      <c r="BW385" s="16" t="str">
        <f aca="false">IF($R385="","",INDEX(Codes!$E$2:$E$108,MATCH("B1|"&amp;$R385,Codes!$A$2:$A$108,0)))</f>
        <v/>
      </c>
      <c r="BX385" s="16" t="str">
        <f aca="false">IF($Y385="","",INDEX(Codes!$E$2:$E$108,MATCH("B4|"&amp;$Y385,Codes!$A$2:$A$108,0)))</f>
        <v/>
      </c>
      <c r="BY385" s="16" t="str">
        <f aca="false">IF($I385="","",INDEX(Codes!$E$2:$E$108,MATCH("A7|"&amp;$I385,Codes!$A$2:$A$108,0)))</f>
        <v/>
      </c>
      <c r="BZ385" s="16" t="str">
        <f aca="false">IF($AU385="","",INDEX(Codes!$E$2:$E$108,MATCH("B8|"&amp;$AU385,Codes!$A$2:$A$108,0)))</f>
        <v/>
      </c>
      <c r="CA385" s="16" t="str">
        <f aca="false">IF($H385="","",INDEX(Codes!$E$2:$E$108,MATCH("A6|"&amp;$H385,Codes!$A$2:$A$108,0)))</f>
        <v/>
      </c>
      <c r="CB385" s="16" t="str">
        <f aca="false">IF($X385="","",IF($X385="phone",1,0))</f>
        <v/>
      </c>
      <c r="CC385" s="16" t="str">
        <f aca="false">IF($BC385="","",8-$BC385)</f>
        <v/>
      </c>
    </row>
    <row r="386" customFormat="false" ht="15" hidden="false" customHeight="false" outlineLevel="0" collapsed="false">
      <c r="BW386" s="16" t="str">
        <f aca="false">IF($R386="","",INDEX(Codes!$E$2:$E$108,MATCH("B1|"&amp;$R386,Codes!$A$2:$A$108,0)))</f>
        <v/>
      </c>
      <c r="BX386" s="16" t="str">
        <f aca="false">IF($Y386="","",INDEX(Codes!$E$2:$E$108,MATCH("B4|"&amp;$Y386,Codes!$A$2:$A$108,0)))</f>
        <v/>
      </c>
      <c r="BY386" s="16" t="str">
        <f aca="false">IF($I386="","",INDEX(Codes!$E$2:$E$108,MATCH("A7|"&amp;$I386,Codes!$A$2:$A$108,0)))</f>
        <v/>
      </c>
      <c r="BZ386" s="16" t="str">
        <f aca="false">IF($AU386="","",INDEX(Codes!$E$2:$E$108,MATCH("B8|"&amp;$AU386,Codes!$A$2:$A$108,0)))</f>
        <v/>
      </c>
      <c r="CA386" s="16" t="str">
        <f aca="false">IF($H386="","",INDEX(Codes!$E$2:$E$108,MATCH("A6|"&amp;$H386,Codes!$A$2:$A$108,0)))</f>
        <v/>
      </c>
      <c r="CB386" s="16" t="str">
        <f aca="false">IF($X386="","",IF($X386="phone",1,0))</f>
        <v/>
      </c>
      <c r="CC386" s="16" t="str">
        <f aca="false">IF($BC386="","",8-$BC386)</f>
        <v/>
      </c>
    </row>
    <row r="387" customFormat="false" ht="15" hidden="false" customHeight="false" outlineLevel="0" collapsed="false">
      <c r="BW387" s="16" t="str">
        <f aca="false">IF($R387="","",INDEX(Codes!$E$2:$E$108,MATCH("B1|"&amp;$R387,Codes!$A$2:$A$108,0)))</f>
        <v/>
      </c>
      <c r="BX387" s="16" t="str">
        <f aca="false">IF($Y387="","",INDEX(Codes!$E$2:$E$108,MATCH("B4|"&amp;$Y387,Codes!$A$2:$A$108,0)))</f>
        <v/>
      </c>
      <c r="BY387" s="16" t="str">
        <f aca="false">IF($I387="","",INDEX(Codes!$E$2:$E$108,MATCH("A7|"&amp;$I387,Codes!$A$2:$A$108,0)))</f>
        <v/>
      </c>
      <c r="BZ387" s="16" t="str">
        <f aca="false">IF($AU387="","",INDEX(Codes!$E$2:$E$108,MATCH("B8|"&amp;$AU387,Codes!$A$2:$A$108,0)))</f>
        <v/>
      </c>
      <c r="CA387" s="16" t="str">
        <f aca="false">IF($H387="","",INDEX(Codes!$E$2:$E$108,MATCH("A6|"&amp;$H387,Codes!$A$2:$A$108,0)))</f>
        <v/>
      </c>
      <c r="CB387" s="16" t="str">
        <f aca="false">IF($X387="","",IF($X387="phone",1,0))</f>
        <v/>
      </c>
      <c r="CC387" s="16" t="str">
        <f aca="false">IF($BC387="","",8-$BC387)</f>
        <v/>
      </c>
    </row>
    <row r="388" customFormat="false" ht="15" hidden="false" customHeight="false" outlineLevel="0" collapsed="false">
      <c r="BW388" s="16" t="str">
        <f aca="false">IF($R388="","",INDEX(Codes!$E$2:$E$108,MATCH("B1|"&amp;$R388,Codes!$A$2:$A$108,0)))</f>
        <v/>
      </c>
      <c r="BX388" s="16" t="str">
        <f aca="false">IF($Y388="","",INDEX(Codes!$E$2:$E$108,MATCH("B4|"&amp;$Y388,Codes!$A$2:$A$108,0)))</f>
        <v/>
      </c>
      <c r="BY388" s="16" t="str">
        <f aca="false">IF($I388="","",INDEX(Codes!$E$2:$E$108,MATCH("A7|"&amp;$I388,Codes!$A$2:$A$108,0)))</f>
        <v/>
      </c>
      <c r="BZ388" s="16" t="str">
        <f aca="false">IF($AU388="","",INDEX(Codes!$E$2:$E$108,MATCH("B8|"&amp;$AU388,Codes!$A$2:$A$108,0)))</f>
        <v/>
      </c>
      <c r="CA388" s="16" t="str">
        <f aca="false">IF($H388="","",INDEX(Codes!$E$2:$E$108,MATCH("A6|"&amp;$H388,Codes!$A$2:$A$108,0)))</f>
        <v/>
      </c>
      <c r="CB388" s="16" t="str">
        <f aca="false">IF($X388="","",IF($X388="phone",1,0))</f>
        <v/>
      </c>
      <c r="CC388" s="16" t="str">
        <f aca="false">IF($BC388="","",8-$BC388)</f>
        <v/>
      </c>
    </row>
    <row r="389" customFormat="false" ht="15" hidden="false" customHeight="false" outlineLevel="0" collapsed="false">
      <c r="BW389" s="16" t="str">
        <f aca="false">IF($R389="","",INDEX(Codes!$E$2:$E$108,MATCH("B1|"&amp;$R389,Codes!$A$2:$A$108,0)))</f>
        <v/>
      </c>
      <c r="BX389" s="16" t="str">
        <f aca="false">IF($Y389="","",INDEX(Codes!$E$2:$E$108,MATCH("B4|"&amp;$Y389,Codes!$A$2:$A$108,0)))</f>
        <v/>
      </c>
      <c r="BY389" s="16" t="str">
        <f aca="false">IF($I389="","",INDEX(Codes!$E$2:$E$108,MATCH("A7|"&amp;$I389,Codes!$A$2:$A$108,0)))</f>
        <v/>
      </c>
      <c r="BZ389" s="16" t="str">
        <f aca="false">IF($AU389="","",INDEX(Codes!$E$2:$E$108,MATCH("B8|"&amp;$AU389,Codes!$A$2:$A$108,0)))</f>
        <v/>
      </c>
      <c r="CA389" s="16" t="str">
        <f aca="false">IF($H389="","",INDEX(Codes!$E$2:$E$108,MATCH("A6|"&amp;$H389,Codes!$A$2:$A$108,0)))</f>
        <v/>
      </c>
      <c r="CB389" s="16" t="str">
        <f aca="false">IF($X389="","",IF($X389="phone",1,0))</f>
        <v/>
      </c>
      <c r="CC389" s="16" t="str">
        <f aca="false">IF($BC389="","",8-$BC389)</f>
        <v/>
      </c>
    </row>
    <row r="390" customFormat="false" ht="15" hidden="false" customHeight="false" outlineLevel="0" collapsed="false">
      <c r="BW390" s="16" t="str">
        <f aca="false">IF($R390="","",INDEX(Codes!$E$2:$E$108,MATCH("B1|"&amp;$R390,Codes!$A$2:$A$108,0)))</f>
        <v/>
      </c>
      <c r="BX390" s="16" t="str">
        <f aca="false">IF($Y390="","",INDEX(Codes!$E$2:$E$108,MATCH("B4|"&amp;$Y390,Codes!$A$2:$A$108,0)))</f>
        <v/>
      </c>
      <c r="BY390" s="16" t="str">
        <f aca="false">IF($I390="","",INDEX(Codes!$E$2:$E$108,MATCH("A7|"&amp;$I390,Codes!$A$2:$A$108,0)))</f>
        <v/>
      </c>
      <c r="BZ390" s="16" t="str">
        <f aca="false">IF($AU390="","",INDEX(Codes!$E$2:$E$108,MATCH("B8|"&amp;$AU390,Codes!$A$2:$A$108,0)))</f>
        <v/>
      </c>
      <c r="CA390" s="16" t="str">
        <f aca="false">IF($H390="","",INDEX(Codes!$E$2:$E$108,MATCH("A6|"&amp;$H390,Codes!$A$2:$A$108,0)))</f>
        <v/>
      </c>
      <c r="CB390" s="16" t="str">
        <f aca="false">IF($X390="","",IF($X390="phone",1,0))</f>
        <v/>
      </c>
      <c r="CC390" s="16" t="str">
        <f aca="false">IF($BC390="","",8-$BC390)</f>
        <v/>
      </c>
    </row>
    <row r="391" customFormat="false" ht="15" hidden="false" customHeight="false" outlineLevel="0" collapsed="false">
      <c r="BW391" s="16" t="str">
        <f aca="false">IF($R391="","",INDEX(Codes!$E$2:$E$108,MATCH("B1|"&amp;$R391,Codes!$A$2:$A$108,0)))</f>
        <v/>
      </c>
      <c r="BX391" s="16" t="str">
        <f aca="false">IF($Y391="","",INDEX(Codes!$E$2:$E$108,MATCH("B4|"&amp;$Y391,Codes!$A$2:$A$108,0)))</f>
        <v/>
      </c>
      <c r="BY391" s="16" t="str">
        <f aca="false">IF($I391="","",INDEX(Codes!$E$2:$E$108,MATCH("A7|"&amp;$I391,Codes!$A$2:$A$108,0)))</f>
        <v/>
      </c>
      <c r="BZ391" s="16" t="str">
        <f aca="false">IF($AU391="","",INDEX(Codes!$E$2:$E$108,MATCH("B8|"&amp;$AU391,Codes!$A$2:$A$108,0)))</f>
        <v/>
      </c>
      <c r="CA391" s="16" t="str">
        <f aca="false">IF($H391="","",INDEX(Codes!$E$2:$E$108,MATCH("A6|"&amp;$H391,Codes!$A$2:$A$108,0)))</f>
        <v/>
      </c>
      <c r="CB391" s="16" t="str">
        <f aca="false">IF($X391="","",IF($X391="phone",1,0))</f>
        <v/>
      </c>
      <c r="CC391" s="16" t="str">
        <f aca="false">IF($BC391="","",8-$BC391)</f>
        <v/>
      </c>
    </row>
    <row r="392" customFormat="false" ht="15" hidden="false" customHeight="false" outlineLevel="0" collapsed="false">
      <c r="BW392" s="16" t="str">
        <f aca="false">IF($R392="","",INDEX(Codes!$E$2:$E$108,MATCH("B1|"&amp;$R392,Codes!$A$2:$A$108,0)))</f>
        <v/>
      </c>
      <c r="BX392" s="16" t="str">
        <f aca="false">IF($Y392="","",INDEX(Codes!$E$2:$E$108,MATCH("B4|"&amp;$Y392,Codes!$A$2:$A$108,0)))</f>
        <v/>
      </c>
      <c r="BY392" s="16" t="str">
        <f aca="false">IF($I392="","",INDEX(Codes!$E$2:$E$108,MATCH("A7|"&amp;$I392,Codes!$A$2:$A$108,0)))</f>
        <v/>
      </c>
      <c r="BZ392" s="16" t="str">
        <f aca="false">IF($AU392="","",INDEX(Codes!$E$2:$E$108,MATCH("B8|"&amp;$AU392,Codes!$A$2:$A$108,0)))</f>
        <v/>
      </c>
      <c r="CA392" s="16" t="str">
        <f aca="false">IF($H392="","",INDEX(Codes!$E$2:$E$108,MATCH("A6|"&amp;$H392,Codes!$A$2:$A$108,0)))</f>
        <v/>
      </c>
      <c r="CB392" s="16" t="str">
        <f aca="false">IF($X392="","",IF($X392="phone",1,0))</f>
        <v/>
      </c>
      <c r="CC392" s="16" t="str">
        <f aca="false">IF($BC392="","",8-$BC392)</f>
        <v/>
      </c>
    </row>
    <row r="393" customFormat="false" ht="15" hidden="false" customHeight="false" outlineLevel="0" collapsed="false">
      <c r="BW393" s="16" t="str">
        <f aca="false">IF($R393="","",INDEX(Codes!$E$2:$E$108,MATCH("B1|"&amp;$R393,Codes!$A$2:$A$108,0)))</f>
        <v/>
      </c>
      <c r="BX393" s="16" t="str">
        <f aca="false">IF($Y393="","",INDEX(Codes!$E$2:$E$108,MATCH("B4|"&amp;$Y393,Codes!$A$2:$A$108,0)))</f>
        <v/>
      </c>
      <c r="BY393" s="16" t="str">
        <f aca="false">IF($I393="","",INDEX(Codes!$E$2:$E$108,MATCH("A7|"&amp;$I393,Codes!$A$2:$A$108,0)))</f>
        <v/>
      </c>
      <c r="BZ393" s="16" t="str">
        <f aca="false">IF($AU393="","",INDEX(Codes!$E$2:$E$108,MATCH("B8|"&amp;$AU393,Codes!$A$2:$A$108,0)))</f>
        <v/>
      </c>
      <c r="CA393" s="16" t="str">
        <f aca="false">IF($H393="","",INDEX(Codes!$E$2:$E$108,MATCH("A6|"&amp;$H393,Codes!$A$2:$A$108,0)))</f>
        <v/>
      </c>
      <c r="CB393" s="16" t="str">
        <f aca="false">IF($X393="","",IF($X393="phone",1,0))</f>
        <v/>
      </c>
      <c r="CC393" s="16" t="str">
        <f aca="false">IF($BC393="","",8-$BC393)</f>
        <v/>
      </c>
    </row>
    <row r="394" customFormat="false" ht="15" hidden="false" customHeight="false" outlineLevel="0" collapsed="false">
      <c r="BW394" s="16" t="str">
        <f aca="false">IF($R394="","",INDEX(Codes!$E$2:$E$108,MATCH("B1|"&amp;$R394,Codes!$A$2:$A$108,0)))</f>
        <v/>
      </c>
      <c r="BX394" s="16" t="str">
        <f aca="false">IF($Y394="","",INDEX(Codes!$E$2:$E$108,MATCH("B4|"&amp;$Y394,Codes!$A$2:$A$108,0)))</f>
        <v/>
      </c>
      <c r="BY394" s="16" t="str">
        <f aca="false">IF($I394="","",INDEX(Codes!$E$2:$E$108,MATCH("A7|"&amp;$I394,Codes!$A$2:$A$108,0)))</f>
        <v/>
      </c>
      <c r="BZ394" s="16" t="str">
        <f aca="false">IF($AU394="","",INDEX(Codes!$E$2:$E$108,MATCH("B8|"&amp;$AU394,Codes!$A$2:$A$108,0)))</f>
        <v/>
      </c>
      <c r="CA394" s="16" t="str">
        <f aca="false">IF($H394="","",INDEX(Codes!$E$2:$E$108,MATCH("A6|"&amp;$H394,Codes!$A$2:$A$108,0)))</f>
        <v/>
      </c>
      <c r="CB394" s="16" t="str">
        <f aca="false">IF($X394="","",IF($X394="phone",1,0))</f>
        <v/>
      </c>
      <c r="CC394" s="16" t="str">
        <f aca="false">IF($BC394="","",8-$BC394)</f>
        <v/>
      </c>
    </row>
    <row r="395" customFormat="false" ht="15" hidden="false" customHeight="false" outlineLevel="0" collapsed="false">
      <c r="BW395" s="16" t="str">
        <f aca="false">IF($R395="","",INDEX(Codes!$E$2:$E$108,MATCH("B1|"&amp;$R395,Codes!$A$2:$A$108,0)))</f>
        <v/>
      </c>
      <c r="BX395" s="16" t="str">
        <f aca="false">IF($Y395="","",INDEX(Codes!$E$2:$E$108,MATCH("B4|"&amp;$Y395,Codes!$A$2:$A$108,0)))</f>
        <v/>
      </c>
      <c r="BY395" s="16" t="str">
        <f aca="false">IF($I395="","",INDEX(Codes!$E$2:$E$108,MATCH("A7|"&amp;$I395,Codes!$A$2:$A$108,0)))</f>
        <v/>
      </c>
      <c r="BZ395" s="16" t="str">
        <f aca="false">IF($AU395="","",INDEX(Codes!$E$2:$E$108,MATCH("B8|"&amp;$AU395,Codes!$A$2:$A$108,0)))</f>
        <v/>
      </c>
      <c r="CA395" s="16" t="str">
        <f aca="false">IF($H395="","",INDEX(Codes!$E$2:$E$108,MATCH("A6|"&amp;$H395,Codes!$A$2:$A$108,0)))</f>
        <v/>
      </c>
      <c r="CB395" s="16" t="str">
        <f aca="false">IF($X395="","",IF($X395="phone",1,0))</f>
        <v/>
      </c>
      <c r="CC395" s="16" t="str">
        <f aca="false">IF($BC395="","",8-$BC395)</f>
        <v/>
      </c>
    </row>
    <row r="396" customFormat="false" ht="15" hidden="false" customHeight="false" outlineLevel="0" collapsed="false">
      <c r="BW396" s="16" t="str">
        <f aca="false">IF($R396="","",INDEX(Codes!$E$2:$E$108,MATCH("B1|"&amp;$R396,Codes!$A$2:$A$108,0)))</f>
        <v/>
      </c>
      <c r="BX396" s="16" t="str">
        <f aca="false">IF($Y396="","",INDEX(Codes!$E$2:$E$108,MATCH("B4|"&amp;$Y396,Codes!$A$2:$A$108,0)))</f>
        <v/>
      </c>
      <c r="BY396" s="16" t="str">
        <f aca="false">IF($I396="","",INDEX(Codes!$E$2:$E$108,MATCH("A7|"&amp;$I396,Codes!$A$2:$A$108,0)))</f>
        <v/>
      </c>
      <c r="BZ396" s="16" t="str">
        <f aca="false">IF($AU396="","",INDEX(Codes!$E$2:$E$108,MATCH("B8|"&amp;$AU396,Codes!$A$2:$A$108,0)))</f>
        <v/>
      </c>
      <c r="CA396" s="16" t="str">
        <f aca="false">IF($H396="","",INDEX(Codes!$E$2:$E$108,MATCH("A6|"&amp;$H396,Codes!$A$2:$A$108,0)))</f>
        <v/>
      </c>
      <c r="CB396" s="16" t="str">
        <f aca="false">IF($X396="","",IF($X396="phone",1,0))</f>
        <v/>
      </c>
      <c r="CC396" s="16" t="str">
        <f aca="false">IF($BC396="","",8-$BC396)</f>
        <v/>
      </c>
    </row>
    <row r="397" customFormat="false" ht="15" hidden="false" customHeight="false" outlineLevel="0" collapsed="false">
      <c r="BW397" s="16" t="str">
        <f aca="false">IF($R397="","",INDEX(Codes!$E$2:$E$108,MATCH("B1|"&amp;$R397,Codes!$A$2:$A$108,0)))</f>
        <v/>
      </c>
      <c r="BX397" s="16" t="str">
        <f aca="false">IF($Y397="","",INDEX(Codes!$E$2:$E$108,MATCH("B4|"&amp;$Y397,Codes!$A$2:$A$108,0)))</f>
        <v/>
      </c>
      <c r="BY397" s="16" t="str">
        <f aca="false">IF($I397="","",INDEX(Codes!$E$2:$E$108,MATCH("A7|"&amp;$I397,Codes!$A$2:$A$108,0)))</f>
        <v/>
      </c>
      <c r="BZ397" s="16" t="str">
        <f aca="false">IF($AU397="","",INDEX(Codes!$E$2:$E$108,MATCH("B8|"&amp;$AU397,Codes!$A$2:$A$108,0)))</f>
        <v/>
      </c>
      <c r="CA397" s="16" t="str">
        <f aca="false">IF($H397="","",INDEX(Codes!$E$2:$E$108,MATCH("A6|"&amp;$H397,Codes!$A$2:$A$108,0)))</f>
        <v/>
      </c>
      <c r="CB397" s="16" t="str">
        <f aca="false">IF($X397="","",IF($X397="phone",1,0))</f>
        <v/>
      </c>
      <c r="CC397" s="16" t="str">
        <f aca="false">IF($BC397="","",8-$BC397)</f>
        <v/>
      </c>
    </row>
    <row r="398" customFormat="false" ht="15" hidden="false" customHeight="false" outlineLevel="0" collapsed="false">
      <c r="BW398" s="16" t="str">
        <f aca="false">IF($R398="","",INDEX(Codes!$E$2:$E$108,MATCH("B1|"&amp;$R398,Codes!$A$2:$A$108,0)))</f>
        <v/>
      </c>
      <c r="BX398" s="16" t="str">
        <f aca="false">IF($Y398="","",INDEX(Codes!$E$2:$E$108,MATCH("B4|"&amp;$Y398,Codes!$A$2:$A$108,0)))</f>
        <v/>
      </c>
      <c r="BY398" s="16" t="str">
        <f aca="false">IF($I398="","",INDEX(Codes!$E$2:$E$108,MATCH("A7|"&amp;$I398,Codes!$A$2:$A$108,0)))</f>
        <v/>
      </c>
      <c r="BZ398" s="16" t="str">
        <f aca="false">IF($AU398="","",INDEX(Codes!$E$2:$E$108,MATCH("B8|"&amp;$AU398,Codes!$A$2:$A$108,0)))</f>
        <v/>
      </c>
      <c r="CA398" s="16" t="str">
        <f aca="false">IF($H398="","",INDEX(Codes!$E$2:$E$108,MATCH("A6|"&amp;$H398,Codes!$A$2:$A$108,0)))</f>
        <v/>
      </c>
      <c r="CB398" s="16" t="str">
        <f aca="false">IF($X398="","",IF($X398="phone",1,0))</f>
        <v/>
      </c>
      <c r="CC398" s="16" t="str">
        <f aca="false">IF($BC398="","",8-$BC398)</f>
        <v/>
      </c>
    </row>
    <row r="399" customFormat="false" ht="15" hidden="false" customHeight="false" outlineLevel="0" collapsed="false">
      <c r="BW399" s="16" t="str">
        <f aca="false">IF($R399="","",INDEX(Codes!$E$2:$E$108,MATCH("B1|"&amp;$R399,Codes!$A$2:$A$108,0)))</f>
        <v/>
      </c>
      <c r="BX399" s="16" t="str">
        <f aca="false">IF($Y399="","",INDEX(Codes!$E$2:$E$108,MATCH("B4|"&amp;$Y399,Codes!$A$2:$A$108,0)))</f>
        <v/>
      </c>
      <c r="BY399" s="16" t="str">
        <f aca="false">IF($I399="","",INDEX(Codes!$E$2:$E$108,MATCH("A7|"&amp;$I399,Codes!$A$2:$A$108,0)))</f>
        <v/>
      </c>
      <c r="BZ399" s="16" t="str">
        <f aca="false">IF($AU399="","",INDEX(Codes!$E$2:$E$108,MATCH("B8|"&amp;$AU399,Codes!$A$2:$A$108,0)))</f>
        <v/>
      </c>
      <c r="CA399" s="16" t="str">
        <f aca="false">IF($H399="","",INDEX(Codes!$E$2:$E$108,MATCH("A6|"&amp;$H399,Codes!$A$2:$A$108,0)))</f>
        <v/>
      </c>
      <c r="CB399" s="16" t="str">
        <f aca="false">IF($X399="","",IF($X399="phone",1,0))</f>
        <v/>
      </c>
      <c r="CC399" s="16" t="str">
        <f aca="false">IF($BC399="","",8-$BC399)</f>
        <v/>
      </c>
    </row>
    <row r="400" customFormat="false" ht="15" hidden="false" customHeight="false" outlineLevel="0" collapsed="false">
      <c r="BW400" s="16" t="str">
        <f aca="false">IF($R400="","",INDEX(Codes!$E$2:$E$108,MATCH("B1|"&amp;$R400,Codes!$A$2:$A$108,0)))</f>
        <v/>
      </c>
      <c r="BX400" s="16" t="str">
        <f aca="false">IF($Y400="","",INDEX(Codes!$E$2:$E$108,MATCH("B4|"&amp;$Y400,Codes!$A$2:$A$108,0)))</f>
        <v/>
      </c>
      <c r="BY400" s="16" t="str">
        <f aca="false">IF($I400="","",INDEX(Codes!$E$2:$E$108,MATCH("A7|"&amp;$I400,Codes!$A$2:$A$108,0)))</f>
        <v/>
      </c>
      <c r="BZ400" s="16" t="str">
        <f aca="false">IF($AU400="","",INDEX(Codes!$E$2:$E$108,MATCH("B8|"&amp;$AU400,Codes!$A$2:$A$108,0)))</f>
        <v/>
      </c>
      <c r="CA400" s="16" t="str">
        <f aca="false">IF($H400="","",INDEX(Codes!$E$2:$E$108,MATCH("A6|"&amp;$H400,Codes!$A$2:$A$108,0)))</f>
        <v/>
      </c>
      <c r="CB400" s="16" t="str">
        <f aca="false">IF($X400="","",IF($X400="phone",1,0))</f>
        <v/>
      </c>
      <c r="CC400" s="16" t="str">
        <f aca="false">IF($BC400="","",8-$BC400)</f>
        <v/>
      </c>
    </row>
    <row r="401" customFormat="false" ht="15" hidden="false" customHeight="false" outlineLevel="0" collapsed="false">
      <c r="BW401" s="16" t="str">
        <f aca="false">IF($R401="","",INDEX(Codes!$E$2:$E$108,MATCH("B1|"&amp;$R401,Codes!$A$2:$A$108,0)))</f>
        <v/>
      </c>
      <c r="BX401" s="16" t="str">
        <f aca="false">IF($Y401="","",INDEX(Codes!$E$2:$E$108,MATCH("B4|"&amp;$Y401,Codes!$A$2:$A$108,0)))</f>
        <v/>
      </c>
      <c r="BY401" s="16" t="str">
        <f aca="false">IF($I401="","",INDEX(Codes!$E$2:$E$108,MATCH("A7|"&amp;$I401,Codes!$A$2:$A$108,0)))</f>
        <v/>
      </c>
      <c r="BZ401" s="16" t="str">
        <f aca="false">IF($AU401="","",INDEX(Codes!$E$2:$E$108,MATCH("B8|"&amp;$AU401,Codes!$A$2:$A$108,0)))</f>
        <v/>
      </c>
      <c r="CA401" s="16" t="str">
        <f aca="false">IF($H401="","",INDEX(Codes!$E$2:$E$108,MATCH("A6|"&amp;$H401,Codes!$A$2:$A$108,0)))</f>
        <v/>
      </c>
      <c r="CB401" s="16" t="str">
        <f aca="false">IF($X401="","",IF($X401="phone",1,0))</f>
        <v/>
      </c>
      <c r="CC401" s="16" t="str">
        <f aca="false">IF($BC401="","",8-$BC401)</f>
        <v/>
      </c>
    </row>
    <row r="402" customFormat="false" ht="15" hidden="false" customHeight="false" outlineLevel="0" collapsed="false">
      <c r="BW402" s="16" t="str">
        <f aca="false">IF($R402="","",INDEX(Codes!$E$2:$E$108,MATCH("B1|"&amp;$R402,Codes!$A$2:$A$108,0)))</f>
        <v/>
      </c>
      <c r="BX402" s="16" t="str">
        <f aca="false">IF($Y402="","",INDEX(Codes!$E$2:$E$108,MATCH("B4|"&amp;$Y402,Codes!$A$2:$A$108,0)))</f>
        <v/>
      </c>
      <c r="BY402" s="16" t="str">
        <f aca="false">IF($I402="","",INDEX(Codes!$E$2:$E$108,MATCH("A7|"&amp;$I402,Codes!$A$2:$A$108,0)))</f>
        <v/>
      </c>
      <c r="BZ402" s="16" t="str">
        <f aca="false">IF($AU402="","",INDEX(Codes!$E$2:$E$108,MATCH("B8|"&amp;$AU402,Codes!$A$2:$A$108,0)))</f>
        <v/>
      </c>
      <c r="CA402" s="16" t="str">
        <f aca="false">IF($H402="","",INDEX(Codes!$E$2:$E$108,MATCH("A6|"&amp;$H402,Codes!$A$2:$A$108,0)))</f>
        <v/>
      </c>
      <c r="CB402" s="16" t="str">
        <f aca="false">IF($X402="","",IF($X402="phone",1,0))</f>
        <v/>
      </c>
      <c r="CC402" s="16" t="str">
        <f aca="false">IF($BC402="","",8-$BC402)</f>
        <v/>
      </c>
    </row>
    <row r="403" customFormat="false" ht="15" hidden="false" customHeight="false" outlineLevel="0" collapsed="false">
      <c r="BW403" s="16" t="str">
        <f aca="false">IF($R403="","",INDEX(Codes!$E$2:$E$108,MATCH("B1|"&amp;$R403,Codes!$A$2:$A$108,0)))</f>
        <v/>
      </c>
      <c r="BX403" s="16" t="str">
        <f aca="false">IF($Y403="","",INDEX(Codes!$E$2:$E$108,MATCH("B4|"&amp;$Y403,Codes!$A$2:$A$108,0)))</f>
        <v/>
      </c>
      <c r="BY403" s="16" t="str">
        <f aca="false">IF($I403="","",INDEX(Codes!$E$2:$E$108,MATCH("A7|"&amp;$I403,Codes!$A$2:$A$108,0)))</f>
        <v/>
      </c>
      <c r="BZ403" s="16" t="str">
        <f aca="false">IF($AU403="","",INDEX(Codes!$E$2:$E$108,MATCH("B8|"&amp;$AU403,Codes!$A$2:$A$108,0)))</f>
        <v/>
      </c>
      <c r="CA403" s="16" t="str">
        <f aca="false">IF($H403="","",INDEX(Codes!$E$2:$E$108,MATCH("A6|"&amp;$H403,Codes!$A$2:$A$108,0)))</f>
        <v/>
      </c>
      <c r="CB403" s="16" t="str">
        <f aca="false">IF($X403="","",IF($X403="phone",1,0))</f>
        <v/>
      </c>
      <c r="CC403" s="16" t="str">
        <f aca="false">IF($BC403="","",8-$BC403)</f>
        <v/>
      </c>
    </row>
    <row r="404" customFormat="false" ht="15" hidden="false" customHeight="false" outlineLevel="0" collapsed="false">
      <c r="BW404" s="16" t="str">
        <f aca="false">IF($R404="","",INDEX(Codes!$E$2:$E$108,MATCH("B1|"&amp;$R404,Codes!$A$2:$A$108,0)))</f>
        <v/>
      </c>
      <c r="BX404" s="16" t="str">
        <f aca="false">IF($Y404="","",INDEX(Codes!$E$2:$E$108,MATCH("B4|"&amp;$Y404,Codes!$A$2:$A$108,0)))</f>
        <v/>
      </c>
      <c r="BY404" s="16" t="str">
        <f aca="false">IF($I404="","",INDEX(Codes!$E$2:$E$108,MATCH("A7|"&amp;$I404,Codes!$A$2:$A$108,0)))</f>
        <v/>
      </c>
      <c r="BZ404" s="16" t="str">
        <f aca="false">IF($AU404="","",INDEX(Codes!$E$2:$E$108,MATCH("B8|"&amp;$AU404,Codes!$A$2:$A$108,0)))</f>
        <v/>
      </c>
      <c r="CA404" s="16" t="str">
        <f aca="false">IF($H404="","",INDEX(Codes!$E$2:$E$108,MATCH("A6|"&amp;$H404,Codes!$A$2:$A$108,0)))</f>
        <v/>
      </c>
      <c r="CB404" s="16" t="str">
        <f aca="false">IF($X404="","",IF($X404="phone",1,0))</f>
        <v/>
      </c>
      <c r="CC404" s="16" t="str">
        <f aca="false">IF($BC404="","",8-$BC404)</f>
        <v/>
      </c>
    </row>
    <row r="405" customFormat="false" ht="15" hidden="false" customHeight="false" outlineLevel="0" collapsed="false">
      <c r="BW405" s="16" t="str">
        <f aca="false">IF($R405="","",INDEX(Codes!$E$2:$E$108,MATCH("B1|"&amp;$R405,Codes!$A$2:$A$108,0)))</f>
        <v/>
      </c>
      <c r="BX405" s="16" t="str">
        <f aca="false">IF($Y405="","",INDEX(Codes!$E$2:$E$108,MATCH("B4|"&amp;$Y405,Codes!$A$2:$A$108,0)))</f>
        <v/>
      </c>
      <c r="BY405" s="16" t="str">
        <f aca="false">IF($I405="","",INDEX(Codes!$E$2:$E$108,MATCH("A7|"&amp;$I405,Codes!$A$2:$A$108,0)))</f>
        <v/>
      </c>
      <c r="BZ405" s="16" t="str">
        <f aca="false">IF($AU405="","",INDEX(Codes!$E$2:$E$108,MATCH("B8|"&amp;$AU405,Codes!$A$2:$A$108,0)))</f>
        <v/>
      </c>
      <c r="CA405" s="16" t="str">
        <f aca="false">IF($H405="","",INDEX(Codes!$E$2:$E$108,MATCH("A6|"&amp;$H405,Codes!$A$2:$A$108,0)))</f>
        <v/>
      </c>
      <c r="CB405" s="16" t="str">
        <f aca="false">IF($X405="","",IF($X405="phone",1,0))</f>
        <v/>
      </c>
      <c r="CC405" s="16" t="str">
        <f aca="false">IF($BC405="","",8-$BC405)</f>
        <v/>
      </c>
    </row>
    <row r="406" customFormat="false" ht="15" hidden="false" customHeight="false" outlineLevel="0" collapsed="false">
      <c r="BW406" s="16" t="str">
        <f aca="false">IF($R406="","",INDEX(Codes!$E$2:$E$108,MATCH("B1|"&amp;$R406,Codes!$A$2:$A$108,0)))</f>
        <v/>
      </c>
      <c r="BX406" s="16" t="str">
        <f aca="false">IF($Y406="","",INDEX(Codes!$E$2:$E$108,MATCH("B4|"&amp;$Y406,Codes!$A$2:$A$108,0)))</f>
        <v/>
      </c>
      <c r="BY406" s="16" t="str">
        <f aca="false">IF($I406="","",INDEX(Codes!$E$2:$E$108,MATCH("A7|"&amp;$I406,Codes!$A$2:$A$108,0)))</f>
        <v/>
      </c>
      <c r="BZ406" s="16" t="str">
        <f aca="false">IF($AU406="","",INDEX(Codes!$E$2:$E$108,MATCH("B8|"&amp;$AU406,Codes!$A$2:$A$108,0)))</f>
        <v/>
      </c>
      <c r="CA406" s="16" t="str">
        <f aca="false">IF($H406="","",INDEX(Codes!$E$2:$E$108,MATCH("A6|"&amp;$H406,Codes!$A$2:$A$108,0)))</f>
        <v/>
      </c>
      <c r="CB406" s="16" t="str">
        <f aca="false">IF($X406="","",IF($X406="phone",1,0))</f>
        <v/>
      </c>
      <c r="CC406" s="16" t="str">
        <f aca="false">IF($BC406="","",8-$BC406)</f>
        <v/>
      </c>
    </row>
    <row r="407" customFormat="false" ht="15" hidden="false" customHeight="false" outlineLevel="0" collapsed="false">
      <c r="BW407" s="16" t="str">
        <f aca="false">IF($R407="","",INDEX(Codes!$E$2:$E$108,MATCH("B1|"&amp;$R407,Codes!$A$2:$A$108,0)))</f>
        <v/>
      </c>
      <c r="BX407" s="16" t="str">
        <f aca="false">IF($Y407="","",INDEX(Codes!$E$2:$E$108,MATCH("B4|"&amp;$Y407,Codes!$A$2:$A$108,0)))</f>
        <v/>
      </c>
      <c r="BY407" s="16" t="str">
        <f aca="false">IF($I407="","",INDEX(Codes!$E$2:$E$108,MATCH("A7|"&amp;$I407,Codes!$A$2:$A$108,0)))</f>
        <v/>
      </c>
      <c r="BZ407" s="16" t="str">
        <f aca="false">IF($AU407="","",INDEX(Codes!$E$2:$E$108,MATCH("B8|"&amp;$AU407,Codes!$A$2:$A$108,0)))</f>
        <v/>
      </c>
      <c r="CA407" s="16" t="str">
        <f aca="false">IF($H407="","",INDEX(Codes!$E$2:$E$108,MATCH("A6|"&amp;$H407,Codes!$A$2:$A$108,0)))</f>
        <v/>
      </c>
      <c r="CB407" s="16" t="str">
        <f aca="false">IF($X407="","",IF($X407="phone",1,0))</f>
        <v/>
      </c>
      <c r="CC407" s="16" t="str">
        <f aca="false">IF($BC407="","",8-$BC407)</f>
        <v/>
      </c>
    </row>
    <row r="408" customFormat="false" ht="15" hidden="false" customHeight="false" outlineLevel="0" collapsed="false">
      <c r="BW408" s="16" t="str">
        <f aca="false">IF($R408="","",INDEX(Codes!$E$2:$E$108,MATCH("B1|"&amp;$R408,Codes!$A$2:$A$108,0)))</f>
        <v/>
      </c>
      <c r="BX408" s="16" t="str">
        <f aca="false">IF($Y408="","",INDEX(Codes!$E$2:$E$108,MATCH("B4|"&amp;$Y408,Codes!$A$2:$A$108,0)))</f>
        <v/>
      </c>
      <c r="BY408" s="16" t="str">
        <f aca="false">IF($I408="","",INDEX(Codes!$E$2:$E$108,MATCH("A7|"&amp;$I408,Codes!$A$2:$A$108,0)))</f>
        <v/>
      </c>
      <c r="BZ408" s="16" t="str">
        <f aca="false">IF($AU408="","",INDEX(Codes!$E$2:$E$108,MATCH("B8|"&amp;$AU408,Codes!$A$2:$A$108,0)))</f>
        <v/>
      </c>
      <c r="CA408" s="16" t="str">
        <f aca="false">IF($H408="","",INDEX(Codes!$E$2:$E$108,MATCH("A6|"&amp;$H408,Codes!$A$2:$A$108,0)))</f>
        <v/>
      </c>
      <c r="CB408" s="16" t="str">
        <f aca="false">IF($X408="","",IF($X408="phone",1,0))</f>
        <v/>
      </c>
      <c r="CC408" s="16" t="str">
        <f aca="false">IF($BC408="","",8-$BC408)</f>
        <v/>
      </c>
    </row>
    <row r="409" customFormat="false" ht="15" hidden="false" customHeight="false" outlineLevel="0" collapsed="false">
      <c r="BW409" s="16" t="str">
        <f aca="false">IF($R409="","",INDEX(Codes!$E$2:$E$108,MATCH("B1|"&amp;$R409,Codes!$A$2:$A$108,0)))</f>
        <v/>
      </c>
      <c r="BX409" s="16" t="str">
        <f aca="false">IF($Y409="","",INDEX(Codes!$E$2:$E$108,MATCH("B4|"&amp;$Y409,Codes!$A$2:$A$108,0)))</f>
        <v/>
      </c>
      <c r="BY409" s="16" t="str">
        <f aca="false">IF($I409="","",INDEX(Codes!$E$2:$E$108,MATCH("A7|"&amp;$I409,Codes!$A$2:$A$108,0)))</f>
        <v/>
      </c>
      <c r="BZ409" s="16" t="str">
        <f aca="false">IF($AU409="","",INDEX(Codes!$E$2:$E$108,MATCH("B8|"&amp;$AU409,Codes!$A$2:$A$108,0)))</f>
        <v/>
      </c>
      <c r="CA409" s="16" t="str">
        <f aca="false">IF($H409="","",INDEX(Codes!$E$2:$E$108,MATCH("A6|"&amp;$H409,Codes!$A$2:$A$108,0)))</f>
        <v/>
      </c>
      <c r="CB409" s="16" t="str">
        <f aca="false">IF($X409="","",IF($X409="phone",1,0))</f>
        <v/>
      </c>
      <c r="CC409" s="16" t="str">
        <f aca="false">IF($BC409="","",8-$BC409)</f>
        <v/>
      </c>
    </row>
    <row r="410" customFormat="false" ht="15" hidden="false" customHeight="false" outlineLevel="0" collapsed="false">
      <c r="BW410" s="16" t="str">
        <f aca="false">IF($R410="","",INDEX(Codes!$E$2:$E$108,MATCH("B1|"&amp;$R410,Codes!$A$2:$A$108,0)))</f>
        <v/>
      </c>
      <c r="BX410" s="16" t="str">
        <f aca="false">IF($Y410="","",INDEX(Codes!$E$2:$E$108,MATCH("B4|"&amp;$Y410,Codes!$A$2:$A$108,0)))</f>
        <v/>
      </c>
      <c r="BY410" s="16" t="str">
        <f aca="false">IF($I410="","",INDEX(Codes!$E$2:$E$108,MATCH("A7|"&amp;$I410,Codes!$A$2:$A$108,0)))</f>
        <v/>
      </c>
      <c r="BZ410" s="16" t="str">
        <f aca="false">IF($AU410="","",INDEX(Codes!$E$2:$E$108,MATCH("B8|"&amp;$AU410,Codes!$A$2:$A$108,0)))</f>
        <v/>
      </c>
      <c r="CA410" s="16" t="str">
        <f aca="false">IF($H410="","",INDEX(Codes!$E$2:$E$108,MATCH("A6|"&amp;$H410,Codes!$A$2:$A$108,0)))</f>
        <v/>
      </c>
      <c r="CB410" s="16" t="str">
        <f aca="false">IF($X410="","",IF($X410="phone",1,0))</f>
        <v/>
      </c>
      <c r="CC410" s="16" t="str">
        <f aca="false">IF($BC410="","",8-$BC410)</f>
        <v/>
      </c>
    </row>
    <row r="411" customFormat="false" ht="15" hidden="false" customHeight="false" outlineLevel="0" collapsed="false">
      <c r="BW411" s="16" t="str">
        <f aca="false">IF($R411="","",INDEX(Codes!$E$2:$E$108,MATCH("B1|"&amp;$R411,Codes!$A$2:$A$108,0)))</f>
        <v/>
      </c>
      <c r="BX411" s="16" t="str">
        <f aca="false">IF($Y411="","",INDEX(Codes!$E$2:$E$108,MATCH("B4|"&amp;$Y411,Codes!$A$2:$A$108,0)))</f>
        <v/>
      </c>
      <c r="BY411" s="16" t="str">
        <f aca="false">IF($I411="","",INDEX(Codes!$E$2:$E$108,MATCH("A7|"&amp;$I411,Codes!$A$2:$A$108,0)))</f>
        <v/>
      </c>
      <c r="BZ411" s="16" t="str">
        <f aca="false">IF($AU411="","",INDEX(Codes!$E$2:$E$108,MATCH("B8|"&amp;$AU411,Codes!$A$2:$A$108,0)))</f>
        <v/>
      </c>
      <c r="CA411" s="16" t="str">
        <f aca="false">IF($H411="","",INDEX(Codes!$E$2:$E$108,MATCH("A6|"&amp;$H411,Codes!$A$2:$A$108,0)))</f>
        <v/>
      </c>
      <c r="CB411" s="16" t="str">
        <f aca="false">IF($X411="","",IF($X411="phone",1,0))</f>
        <v/>
      </c>
      <c r="CC411" s="16" t="str">
        <f aca="false">IF($BC411="","",8-$BC411)</f>
        <v/>
      </c>
    </row>
    <row r="412" customFormat="false" ht="15" hidden="false" customHeight="false" outlineLevel="0" collapsed="false">
      <c r="BW412" s="16" t="str">
        <f aca="false">IF($R412="","",INDEX(Codes!$E$2:$E$108,MATCH("B1|"&amp;$R412,Codes!$A$2:$A$108,0)))</f>
        <v/>
      </c>
      <c r="BX412" s="16" t="str">
        <f aca="false">IF($Y412="","",INDEX(Codes!$E$2:$E$108,MATCH("B4|"&amp;$Y412,Codes!$A$2:$A$108,0)))</f>
        <v/>
      </c>
      <c r="BY412" s="16" t="str">
        <f aca="false">IF($I412="","",INDEX(Codes!$E$2:$E$108,MATCH("A7|"&amp;$I412,Codes!$A$2:$A$108,0)))</f>
        <v/>
      </c>
      <c r="BZ412" s="16" t="str">
        <f aca="false">IF($AU412="","",INDEX(Codes!$E$2:$E$108,MATCH("B8|"&amp;$AU412,Codes!$A$2:$A$108,0)))</f>
        <v/>
      </c>
      <c r="CA412" s="16" t="str">
        <f aca="false">IF($H412="","",INDEX(Codes!$E$2:$E$108,MATCH("A6|"&amp;$H412,Codes!$A$2:$A$108,0)))</f>
        <v/>
      </c>
      <c r="CB412" s="16" t="str">
        <f aca="false">IF($X412="","",IF($X412="phone",1,0))</f>
        <v/>
      </c>
      <c r="CC412" s="16" t="str">
        <f aca="false">IF($BC412="","",8-$BC412)</f>
        <v/>
      </c>
    </row>
    <row r="413" customFormat="false" ht="15" hidden="false" customHeight="false" outlineLevel="0" collapsed="false">
      <c r="BW413" s="16" t="str">
        <f aca="false">IF($R413="","",INDEX(Codes!$E$2:$E$108,MATCH("B1|"&amp;$R413,Codes!$A$2:$A$108,0)))</f>
        <v/>
      </c>
      <c r="BX413" s="16" t="str">
        <f aca="false">IF($Y413="","",INDEX(Codes!$E$2:$E$108,MATCH("B4|"&amp;$Y413,Codes!$A$2:$A$108,0)))</f>
        <v/>
      </c>
      <c r="BY413" s="16" t="str">
        <f aca="false">IF($I413="","",INDEX(Codes!$E$2:$E$108,MATCH("A7|"&amp;$I413,Codes!$A$2:$A$108,0)))</f>
        <v/>
      </c>
      <c r="BZ413" s="16" t="str">
        <f aca="false">IF($AU413="","",INDEX(Codes!$E$2:$E$108,MATCH("B8|"&amp;$AU413,Codes!$A$2:$A$108,0)))</f>
        <v/>
      </c>
      <c r="CA413" s="16" t="str">
        <f aca="false">IF($H413="","",INDEX(Codes!$E$2:$E$108,MATCH("A6|"&amp;$H413,Codes!$A$2:$A$108,0)))</f>
        <v/>
      </c>
      <c r="CB413" s="16" t="str">
        <f aca="false">IF($X413="","",IF($X413="phone",1,0))</f>
        <v/>
      </c>
      <c r="CC413" s="16" t="str">
        <f aca="false">IF($BC413="","",8-$BC413)</f>
        <v/>
      </c>
    </row>
    <row r="414" customFormat="false" ht="15" hidden="false" customHeight="false" outlineLevel="0" collapsed="false">
      <c r="BW414" s="16" t="str">
        <f aca="false">IF($R414="","",INDEX(Codes!$E$2:$E$108,MATCH("B1|"&amp;$R414,Codes!$A$2:$A$108,0)))</f>
        <v/>
      </c>
      <c r="BX414" s="16" t="str">
        <f aca="false">IF($Y414="","",INDEX(Codes!$E$2:$E$108,MATCH("B4|"&amp;$Y414,Codes!$A$2:$A$108,0)))</f>
        <v/>
      </c>
      <c r="BY414" s="16" t="str">
        <f aca="false">IF($I414="","",INDEX(Codes!$E$2:$E$108,MATCH("A7|"&amp;$I414,Codes!$A$2:$A$108,0)))</f>
        <v/>
      </c>
      <c r="BZ414" s="16" t="str">
        <f aca="false">IF($AU414="","",INDEX(Codes!$E$2:$E$108,MATCH("B8|"&amp;$AU414,Codes!$A$2:$A$108,0)))</f>
        <v/>
      </c>
      <c r="CA414" s="16" t="str">
        <f aca="false">IF($H414="","",INDEX(Codes!$E$2:$E$108,MATCH("A6|"&amp;$H414,Codes!$A$2:$A$108,0)))</f>
        <v/>
      </c>
      <c r="CB414" s="16" t="str">
        <f aca="false">IF($X414="","",IF($X414="phone",1,0))</f>
        <v/>
      </c>
      <c r="CC414" s="16" t="str">
        <f aca="false">IF($BC414="","",8-$BC414)</f>
        <v/>
      </c>
    </row>
    <row r="415" customFormat="false" ht="15" hidden="false" customHeight="false" outlineLevel="0" collapsed="false">
      <c r="BW415" s="16" t="str">
        <f aca="false">IF($R415="","",INDEX(Codes!$E$2:$E$108,MATCH("B1|"&amp;$R415,Codes!$A$2:$A$108,0)))</f>
        <v/>
      </c>
      <c r="BX415" s="16" t="str">
        <f aca="false">IF($Y415="","",INDEX(Codes!$E$2:$E$108,MATCH("B4|"&amp;$Y415,Codes!$A$2:$A$108,0)))</f>
        <v/>
      </c>
      <c r="BY415" s="16" t="str">
        <f aca="false">IF($I415="","",INDEX(Codes!$E$2:$E$108,MATCH("A7|"&amp;$I415,Codes!$A$2:$A$108,0)))</f>
        <v/>
      </c>
      <c r="BZ415" s="16" t="str">
        <f aca="false">IF($AU415="","",INDEX(Codes!$E$2:$E$108,MATCH("B8|"&amp;$AU415,Codes!$A$2:$A$108,0)))</f>
        <v/>
      </c>
      <c r="CA415" s="16" t="str">
        <f aca="false">IF($H415="","",INDEX(Codes!$E$2:$E$108,MATCH("A6|"&amp;$H415,Codes!$A$2:$A$108,0)))</f>
        <v/>
      </c>
      <c r="CB415" s="16" t="str">
        <f aca="false">IF($X415="","",IF($X415="phone",1,0))</f>
        <v/>
      </c>
      <c r="CC415" s="16" t="str">
        <f aca="false">IF($BC415="","",8-$BC415)</f>
        <v/>
      </c>
    </row>
    <row r="416" customFormat="false" ht="15" hidden="false" customHeight="false" outlineLevel="0" collapsed="false">
      <c r="BW416" s="16" t="str">
        <f aca="false">IF($R416="","",INDEX(Codes!$E$2:$E$108,MATCH("B1|"&amp;$R416,Codes!$A$2:$A$108,0)))</f>
        <v/>
      </c>
      <c r="BX416" s="16" t="str">
        <f aca="false">IF($Y416="","",INDEX(Codes!$E$2:$E$108,MATCH("B4|"&amp;$Y416,Codes!$A$2:$A$108,0)))</f>
        <v/>
      </c>
      <c r="BY416" s="16" t="str">
        <f aca="false">IF($I416="","",INDEX(Codes!$E$2:$E$108,MATCH("A7|"&amp;$I416,Codes!$A$2:$A$108,0)))</f>
        <v/>
      </c>
      <c r="BZ416" s="16" t="str">
        <f aca="false">IF($AU416="","",INDEX(Codes!$E$2:$E$108,MATCH("B8|"&amp;$AU416,Codes!$A$2:$A$108,0)))</f>
        <v/>
      </c>
      <c r="CA416" s="16" t="str">
        <f aca="false">IF($H416="","",INDEX(Codes!$E$2:$E$108,MATCH("A6|"&amp;$H416,Codes!$A$2:$A$108,0)))</f>
        <v/>
      </c>
      <c r="CB416" s="16" t="str">
        <f aca="false">IF($X416="","",IF($X416="phone",1,0))</f>
        <v/>
      </c>
      <c r="CC416" s="16" t="str">
        <f aca="false">IF($BC416="","",8-$BC416)</f>
        <v/>
      </c>
    </row>
    <row r="417" customFormat="false" ht="15" hidden="false" customHeight="false" outlineLevel="0" collapsed="false">
      <c r="BW417" s="16" t="str">
        <f aca="false">IF($R417="","",INDEX(Codes!$E$2:$E$108,MATCH("B1|"&amp;$R417,Codes!$A$2:$A$108,0)))</f>
        <v/>
      </c>
      <c r="BX417" s="16" t="str">
        <f aca="false">IF($Y417="","",INDEX(Codes!$E$2:$E$108,MATCH("B4|"&amp;$Y417,Codes!$A$2:$A$108,0)))</f>
        <v/>
      </c>
      <c r="BY417" s="16" t="str">
        <f aca="false">IF($I417="","",INDEX(Codes!$E$2:$E$108,MATCH("A7|"&amp;$I417,Codes!$A$2:$A$108,0)))</f>
        <v/>
      </c>
      <c r="BZ417" s="16" t="str">
        <f aca="false">IF($AU417="","",INDEX(Codes!$E$2:$E$108,MATCH("B8|"&amp;$AU417,Codes!$A$2:$A$108,0)))</f>
        <v/>
      </c>
      <c r="CA417" s="16" t="str">
        <f aca="false">IF($H417="","",INDEX(Codes!$E$2:$E$108,MATCH("A6|"&amp;$H417,Codes!$A$2:$A$108,0)))</f>
        <v/>
      </c>
      <c r="CB417" s="16" t="str">
        <f aca="false">IF($X417="","",IF($X417="phone",1,0))</f>
        <v/>
      </c>
      <c r="CC417" s="16" t="str">
        <f aca="false">IF($BC417="","",8-$BC417)</f>
        <v/>
      </c>
    </row>
    <row r="418" customFormat="false" ht="15" hidden="false" customHeight="false" outlineLevel="0" collapsed="false">
      <c r="BW418" s="16" t="str">
        <f aca="false">IF($R418="","",INDEX(Codes!$E$2:$E$108,MATCH("B1|"&amp;$R418,Codes!$A$2:$A$108,0)))</f>
        <v/>
      </c>
      <c r="BX418" s="16" t="str">
        <f aca="false">IF($Y418="","",INDEX(Codes!$E$2:$E$108,MATCH("B4|"&amp;$Y418,Codes!$A$2:$A$108,0)))</f>
        <v/>
      </c>
      <c r="BY418" s="16" t="str">
        <f aca="false">IF($I418="","",INDEX(Codes!$E$2:$E$108,MATCH("A7|"&amp;$I418,Codes!$A$2:$A$108,0)))</f>
        <v/>
      </c>
      <c r="BZ418" s="16" t="str">
        <f aca="false">IF($AU418="","",INDEX(Codes!$E$2:$E$108,MATCH("B8|"&amp;$AU418,Codes!$A$2:$A$108,0)))</f>
        <v/>
      </c>
      <c r="CA418" s="16" t="str">
        <f aca="false">IF($H418="","",INDEX(Codes!$E$2:$E$108,MATCH("A6|"&amp;$H418,Codes!$A$2:$A$108,0)))</f>
        <v/>
      </c>
      <c r="CB418" s="16" t="str">
        <f aca="false">IF($X418="","",IF($X418="phone",1,0))</f>
        <v/>
      </c>
      <c r="CC418" s="16" t="str">
        <f aca="false">IF($BC418="","",8-$BC418)</f>
        <v/>
      </c>
    </row>
    <row r="419" customFormat="false" ht="15" hidden="false" customHeight="false" outlineLevel="0" collapsed="false">
      <c r="BW419" s="16" t="str">
        <f aca="false">IF($R419="","",INDEX(Codes!$E$2:$E$108,MATCH("B1|"&amp;$R419,Codes!$A$2:$A$108,0)))</f>
        <v/>
      </c>
      <c r="BX419" s="16" t="str">
        <f aca="false">IF($Y419="","",INDEX(Codes!$E$2:$E$108,MATCH("B4|"&amp;$Y419,Codes!$A$2:$A$108,0)))</f>
        <v/>
      </c>
      <c r="BY419" s="16" t="str">
        <f aca="false">IF($I419="","",INDEX(Codes!$E$2:$E$108,MATCH("A7|"&amp;$I419,Codes!$A$2:$A$108,0)))</f>
        <v/>
      </c>
      <c r="BZ419" s="16" t="str">
        <f aca="false">IF($AU419="","",INDEX(Codes!$E$2:$E$108,MATCH("B8|"&amp;$AU419,Codes!$A$2:$A$108,0)))</f>
        <v/>
      </c>
      <c r="CA419" s="16" t="str">
        <f aca="false">IF($H419="","",INDEX(Codes!$E$2:$E$108,MATCH("A6|"&amp;$H419,Codes!$A$2:$A$108,0)))</f>
        <v/>
      </c>
      <c r="CB419" s="16" t="str">
        <f aca="false">IF($X419="","",IF($X419="phone",1,0))</f>
        <v/>
      </c>
      <c r="CC419" s="16" t="str">
        <f aca="false">IF($BC419="","",8-$BC419)</f>
        <v/>
      </c>
    </row>
    <row r="420" customFormat="false" ht="15" hidden="false" customHeight="false" outlineLevel="0" collapsed="false">
      <c r="BW420" s="16" t="str">
        <f aca="false">IF($R420="","",INDEX(Codes!$E$2:$E$108,MATCH("B1|"&amp;$R420,Codes!$A$2:$A$108,0)))</f>
        <v/>
      </c>
      <c r="BX420" s="16" t="str">
        <f aca="false">IF($Y420="","",INDEX(Codes!$E$2:$E$108,MATCH("B4|"&amp;$Y420,Codes!$A$2:$A$108,0)))</f>
        <v/>
      </c>
      <c r="BY420" s="16" t="str">
        <f aca="false">IF($I420="","",INDEX(Codes!$E$2:$E$108,MATCH("A7|"&amp;$I420,Codes!$A$2:$A$108,0)))</f>
        <v/>
      </c>
      <c r="BZ420" s="16" t="str">
        <f aca="false">IF($AU420="","",INDEX(Codes!$E$2:$E$108,MATCH("B8|"&amp;$AU420,Codes!$A$2:$A$108,0)))</f>
        <v/>
      </c>
      <c r="CA420" s="16" t="str">
        <f aca="false">IF($H420="","",INDEX(Codes!$E$2:$E$108,MATCH("A6|"&amp;$H420,Codes!$A$2:$A$108,0)))</f>
        <v/>
      </c>
      <c r="CB420" s="16" t="str">
        <f aca="false">IF($X420="","",IF($X420="phone",1,0))</f>
        <v/>
      </c>
      <c r="CC420" s="16" t="str">
        <f aca="false">IF($BC420="","",8-$BC420)</f>
        <v/>
      </c>
    </row>
    <row r="421" customFormat="false" ht="15" hidden="false" customHeight="false" outlineLevel="0" collapsed="false">
      <c r="BW421" s="16" t="str">
        <f aca="false">IF($R421="","",INDEX(Codes!$E$2:$E$108,MATCH("B1|"&amp;$R421,Codes!$A$2:$A$108,0)))</f>
        <v/>
      </c>
      <c r="BX421" s="16" t="str">
        <f aca="false">IF($Y421="","",INDEX(Codes!$E$2:$E$108,MATCH("B4|"&amp;$Y421,Codes!$A$2:$A$108,0)))</f>
        <v/>
      </c>
      <c r="BY421" s="16" t="str">
        <f aca="false">IF($I421="","",INDEX(Codes!$E$2:$E$108,MATCH("A7|"&amp;$I421,Codes!$A$2:$A$108,0)))</f>
        <v/>
      </c>
      <c r="BZ421" s="16" t="str">
        <f aca="false">IF($AU421="","",INDEX(Codes!$E$2:$E$108,MATCH("B8|"&amp;$AU421,Codes!$A$2:$A$108,0)))</f>
        <v/>
      </c>
      <c r="CA421" s="16" t="str">
        <f aca="false">IF($H421="","",INDEX(Codes!$E$2:$E$108,MATCH("A6|"&amp;$H421,Codes!$A$2:$A$108,0)))</f>
        <v/>
      </c>
      <c r="CB421" s="16" t="str">
        <f aca="false">IF($X421="","",IF($X421="phone",1,0))</f>
        <v/>
      </c>
      <c r="CC421" s="16" t="str">
        <f aca="false">IF($BC421="","",8-$BC421)</f>
        <v/>
      </c>
    </row>
    <row r="422" customFormat="false" ht="15" hidden="false" customHeight="false" outlineLevel="0" collapsed="false">
      <c r="BW422" s="16" t="str">
        <f aca="false">IF($R422="","",INDEX(Codes!$E$2:$E$108,MATCH("B1|"&amp;$R422,Codes!$A$2:$A$108,0)))</f>
        <v/>
      </c>
      <c r="BX422" s="16" t="str">
        <f aca="false">IF($Y422="","",INDEX(Codes!$E$2:$E$108,MATCH("B4|"&amp;$Y422,Codes!$A$2:$A$108,0)))</f>
        <v/>
      </c>
      <c r="BY422" s="16" t="str">
        <f aca="false">IF($I422="","",INDEX(Codes!$E$2:$E$108,MATCH("A7|"&amp;$I422,Codes!$A$2:$A$108,0)))</f>
        <v/>
      </c>
      <c r="BZ422" s="16" t="str">
        <f aca="false">IF($AU422="","",INDEX(Codes!$E$2:$E$108,MATCH("B8|"&amp;$AU422,Codes!$A$2:$A$108,0)))</f>
        <v/>
      </c>
      <c r="CA422" s="16" t="str">
        <f aca="false">IF($H422="","",INDEX(Codes!$E$2:$E$108,MATCH("A6|"&amp;$H422,Codes!$A$2:$A$108,0)))</f>
        <v/>
      </c>
      <c r="CB422" s="16" t="str">
        <f aca="false">IF($X422="","",IF($X422="phone",1,0))</f>
        <v/>
      </c>
      <c r="CC422" s="16" t="str">
        <f aca="false">IF($BC422="","",8-$BC422)</f>
        <v/>
      </c>
    </row>
    <row r="423" customFormat="false" ht="15" hidden="false" customHeight="false" outlineLevel="0" collapsed="false">
      <c r="BW423" s="16" t="str">
        <f aca="false">IF($R423="","",INDEX(Codes!$E$2:$E$108,MATCH("B1|"&amp;$R423,Codes!$A$2:$A$108,0)))</f>
        <v/>
      </c>
      <c r="BX423" s="16" t="str">
        <f aca="false">IF($Y423="","",INDEX(Codes!$E$2:$E$108,MATCH("B4|"&amp;$Y423,Codes!$A$2:$A$108,0)))</f>
        <v/>
      </c>
      <c r="BY423" s="16" t="str">
        <f aca="false">IF($I423="","",INDEX(Codes!$E$2:$E$108,MATCH("A7|"&amp;$I423,Codes!$A$2:$A$108,0)))</f>
        <v/>
      </c>
      <c r="BZ423" s="16" t="str">
        <f aca="false">IF($AU423="","",INDEX(Codes!$E$2:$E$108,MATCH("B8|"&amp;$AU423,Codes!$A$2:$A$108,0)))</f>
        <v/>
      </c>
      <c r="CA423" s="16" t="str">
        <f aca="false">IF($H423="","",INDEX(Codes!$E$2:$E$108,MATCH("A6|"&amp;$H423,Codes!$A$2:$A$108,0)))</f>
        <v/>
      </c>
      <c r="CB423" s="16" t="str">
        <f aca="false">IF($X423="","",IF($X423="phone",1,0))</f>
        <v/>
      </c>
      <c r="CC423" s="16" t="str">
        <f aca="false">IF($BC423="","",8-$BC423)</f>
        <v/>
      </c>
    </row>
    <row r="424" customFormat="false" ht="15" hidden="false" customHeight="false" outlineLevel="0" collapsed="false">
      <c r="BW424" s="16" t="str">
        <f aca="false">IF($R424="","",INDEX(Codes!$E$2:$E$108,MATCH("B1|"&amp;$R424,Codes!$A$2:$A$108,0)))</f>
        <v/>
      </c>
      <c r="BX424" s="16" t="str">
        <f aca="false">IF($Y424="","",INDEX(Codes!$E$2:$E$108,MATCH("B4|"&amp;$Y424,Codes!$A$2:$A$108,0)))</f>
        <v/>
      </c>
      <c r="BY424" s="16" t="str">
        <f aca="false">IF($I424="","",INDEX(Codes!$E$2:$E$108,MATCH("A7|"&amp;$I424,Codes!$A$2:$A$108,0)))</f>
        <v/>
      </c>
      <c r="BZ424" s="16" t="str">
        <f aca="false">IF($AU424="","",INDEX(Codes!$E$2:$E$108,MATCH("B8|"&amp;$AU424,Codes!$A$2:$A$108,0)))</f>
        <v/>
      </c>
      <c r="CA424" s="16" t="str">
        <f aca="false">IF($H424="","",INDEX(Codes!$E$2:$E$108,MATCH("A6|"&amp;$H424,Codes!$A$2:$A$108,0)))</f>
        <v/>
      </c>
      <c r="CB424" s="16" t="str">
        <f aca="false">IF($X424="","",IF($X424="phone",1,0))</f>
        <v/>
      </c>
      <c r="CC424" s="16" t="str">
        <f aca="false">IF($BC424="","",8-$BC424)</f>
        <v/>
      </c>
    </row>
    <row r="425" customFormat="false" ht="15" hidden="false" customHeight="false" outlineLevel="0" collapsed="false">
      <c r="BW425" s="16" t="str">
        <f aca="false">IF($R425="","",INDEX(Codes!$E$2:$E$108,MATCH("B1|"&amp;$R425,Codes!$A$2:$A$108,0)))</f>
        <v/>
      </c>
      <c r="BX425" s="16" t="str">
        <f aca="false">IF($Y425="","",INDEX(Codes!$E$2:$E$108,MATCH("B4|"&amp;$Y425,Codes!$A$2:$A$108,0)))</f>
        <v/>
      </c>
      <c r="BY425" s="16" t="str">
        <f aca="false">IF($I425="","",INDEX(Codes!$E$2:$E$108,MATCH("A7|"&amp;$I425,Codes!$A$2:$A$108,0)))</f>
        <v/>
      </c>
      <c r="BZ425" s="16" t="str">
        <f aca="false">IF($AU425="","",INDEX(Codes!$E$2:$E$108,MATCH("B8|"&amp;$AU425,Codes!$A$2:$A$108,0)))</f>
        <v/>
      </c>
      <c r="CA425" s="16" t="str">
        <f aca="false">IF($H425="","",INDEX(Codes!$E$2:$E$108,MATCH("A6|"&amp;$H425,Codes!$A$2:$A$108,0)))</f>
        <v/>
      </c>
      <c r="CB425" s="16" t="str">
        <f aca="false">IF($X425="","",IF($X425="phone",1,0))</f>
        <v/>
      </c>
      <c r="CC425" s="16" t="str">
        <f aca="false">IF($BC425="","",8-$BC425)</f>
        <v/>
      </c>
    </row>
    <row r="426" customFormat="false" ht="15" hidden="false" customHeight="false" outlineLevel="0" collapsed="false">
      <c r="BW426" s="16" t="str">
        <f aca="false">IF($R426="","",INDEX(Codes!$E$2:$E$108,MATCH("B1|"&amp;$R426,Codes!$A$2:$A$108,0)))</f>
        <v/>
      </c>
      <c r="BX426" s="16" t="str">
        <f aca="false">IF($Y426="","",INDEX(Codes!$E$2:$E$108,MATCH("B4|"&amp;$Y426,Codes!$A$2:$A$108,0)))</f>
        <v/>
      </c>
      <c r="BY426" s="16" t="str">
        <f aca="false">IF($I426="","",INDEX(Codes!$E$2:$E$108,MATCH("A7|"&amp;$I426,Codes!$A$2:$A$108,0)))</f>
        <v/>
      </c>
      <c r="BZ426" s="16" t="str">
        <f aca="false">IF($AU426="","",INDEX(Codes!$E$2:$E$108,MATCH("B8|"&amp;$AU426,Codes!$A$2:$A$108,0)))</f>
        <v/>
      </c>
      <c r="CA426" s="16" t="str">
        <f aca="false">IF($H426="","",INDEX(Codes!$E$2:$E$108,MATCH("A6|"&amp;$H426,Codes!$A$2:$A$108,0)))</f>
        <v/>
      </c>
      <c r="CB426" s="16" t="str">
        <f aca="false">IF($X426="","",IF($X426="phone",1,0))</f>
        <v/>
      </c>
      <c r="CC426" s="16" t="str">
        <f aca="false">IF($BC426="","",8-$BC426)</f>
        <v/>
      </c>
    </row>
    <row r="427" customFormat="false" ht="15" hidden="false" customHeight="false" outlineLevel="0" collapsed="false">
      <c r="BW427" s="16" t="str">
        <f aca="false">IF($R427="","",INDEX(Codes!$E$2:$E$108,MATCH("B1|"&amp;$R427,Codes!$A$2:$A$108,0)))</f>
        <v/>
      </c>
      <c r="BX427" s="16" t="str">
        <f aca="false">IF($Y427="","",INDEX(Codes!$E$2:$E$108,MATCH("B4|"&amp;$Y427,Codes!$A$2:$A$108,0)))</f>
        <v/>
      </c>
      <c r="BY427" s="16" t="str">
        <f aca="false">IF($I427="","",INDEX(Codes!$E$2:$E$108,MATCH("A7|"&amp;$I427,Codes!$A$2:$A$108,0)))</f>
        <v/>
      </c>
      <c r="BZ427" s="16" t="str">
        <f aca="false">IF($AU427="","",INDEX(Codes!$E$2:$E$108,MATCH("B8|"&amp;$AU427,Codes!$A$2:$A$108,0)))</f>
        <v/>
      </c>
      <c r="CA427" s="16" t="str">
        <f aca="false">IF($H427="","",INDEX(Codes!$E$2:$E$108,MATCH("A6|"&amp;$H427,Codes!$A$2:$A$108,0)))</f>
        <v/>
      </c>
      <c r="CB427" s="16" t="str">
        <f aca="false">IF($X427="","",IF($X427="phone",1,0))</f>
        <v/>
      </c>
      <c r="CC427" s="16" t="str">
        <f aca="false">IF($BC427="","",8-$BC427)</f>
        <v/>
      </c>
    </row>
    <row r="428" customFormat="false" ht="15" hidden="false" customHeight="false" outlineLevel="0" collapsed="false">
      <c r="BW428" s="16" t="str">
        <f aca="false">IF($R428="","",INDEX(Codes!$E$2:$E$108,MATCH("B1|"&amp;$R428,Codes!$A$2:$A$108,0)))</f>
        <v/>
      </c>
      <c r="BX428" s="16" t="str">
        <f aca="false">IF($Y428="","",INDEX(Codes!$E$2:$E$108,MATCH("B4|"&amp;$Y428,Codes!$A$2:$A$108,0)))</f>
        <v/>
      </c>
      <c r="BY428" s="16" t="str">
        <f aca="false">IF($I428="","",INDEX(Codes!$E$2:$E$108,MATCH("A7|"&amp;$I428,Codes!$A$2:$A$108,0)))</f>
        <v/>
      </c>
      <c r="BZ428" s="16" t="str">
        <f aca="false">IF($AU428="","",INDEX(Codes!$E$2:$E$108,MATCH("B8|"&amp;$AU428,Codes!$A$2:$A$108,0)))</f>
        <v/>
      </c>
      <c r="CA428" s="16" t="str">
        <f aca="false">IF($H428="","",INDEX(Codes!$E$2:$E$108,MATCH("A6|"&amp;$H428,Codes!$A$2:$A$108,0)))</f>
        <v/>
      </c>
      <c r="CB428" s="16" t="str">
        <f aca="false">IF($X428="","",IF($X428="phone",1,0))</f>
        <v/>
      </c>
      <c r="CC428" s="16" t="str">
        <f aca="false">IF($BC428="","",8-$BC428)</f>
        <v/>
      </c>
    </row>
    <row r="429" customFormat="false" ht="15" hidden="false" customHeight="false" outlineLevel="0" collapsed="false">
      <c r="BW429" s="16" t="str">
        <f aca="false">IF($R429="","",INDEX(Codes!$E$2:$E$108,MATCH("B1|"&amp;$R429,Codes!$A$2:$A$108,0)))</f>
        <v/>
      </c>
      <c r="BX429" s="16" t="str">
        <f aca="false">IF($Y429="","",INDEX(Codes!$E$2:$E$108,MATCH("B4|"&amp;$Y429,Codes!$A$2:$A$108,0)))</f>
        <v/>
      </c>
      <c r="BY429" s="16" t="str">
        <f aca="false">IF($I429="","",INDEX(Codes!$E$2:$E$108,MATCH("A7|"&amp;$I429,Codes!$A$2:$A$108,0)))</f>
        <v/>
      </c>
      <c r="BZ429" s="16" t="str">
        <f aca="false">IF($AU429="","",INDEX(Codes!$E$2:$E$108,MATCH("B8|"&amp;$AU429,Codes!$A$2:$A$108,0)))</f>
        <v/>
      </c>
      <c r="CA429" s="16" t="str">
        <f aca="false">IF($H429="","",INDEX(Codes!$E$2:$E$108,MATCH("A6|"&amp;$H429,Codes!$A$2:$A$108,0)))</f>
        <v/>
      </c>
      <c r="CB429" s="16" t="str">
        <f aca="false">IF($X429="","",IF($X429="phone",1,0))</f>
        <v/>
      </c>
      <c r="CC429" s="16" t="str">
        <f aca="false">IF($BC429="","",8-$BC429)</f>
        <v/>
      </c>
    </row>
    <row r="430" customFormat="false" ht="15" hidden="false" customHeight="false" outlineLevel="0" collapsed="false">
      <c r="BW430" s="16" t="str">
        <f aca="false">IF($R430="","",INDEX(Codes!$E$2:$E$108,MATCH("B1|"&amp;$R430,Codes!$A$2:$A$108,0)))</f>
        <v/>
      </c>
      <c r="BX430" s="16" t="str">
        <f aca="false">IF($Y430="","",INDEX(Codes!$E$2:$E$108,MATCH("B4|"&amp;$Y430,Codes!$A$2:$A$108,0)))</f>
        <v/>
      </c>
      <c r="BY430" s="16" t="str">
        <f aca="false">IF($I430="","",INDEX(Codes!$E$2:$E$108,MATCH("A7|"&amp;$I430,Codes!$A$2:$A$108,0)))</f>
        <v/>
      </c>
      <c r="BZ430" s="16" t="str">
        <f aca="false">IF($AU430="","",INDEX(Codes!$E$2:$E$108,MATCH("B8|"&amp;$AU430,Codes!$A$2:$A$108,0)))</f>
        <v/>
      </c>
      <c r="CA430" s="16" t="str">
        <f aca="false">IF($H430="","",INDEX(Codes!$E$2:$E$108,MATCH("A6|"&amp;$H430,Codes!$A$2:$A$108,0)))</f>
        <v/>
      </c>
      <c r="CB430" s="16" t="str">
        <f aca="false">IF($X430="","",IF($X430="phone",1,0))</f>
        <v/>
      </c>
      <c r="CC430" s="16" t="str">
        <f aca="false">IF($BC430="","",8-$BC430)</f>
        <v/>
      </c>
    </row>
    <row r="431" customFormat="false" ht="15" hidden="false" customHeight="false" outlineLevel="0" collapsed="false">
      <c r="BW431" s="16" t="str">
        <f aca="false">IF($R431="","",INDEX(Codes!$E$2:$E$108,MATCH("B1|"&amp;$R431,Codes!$A$2:$A$108,0)))</f>
        <v/>
      </c>
      <c r="BX431" s="16" t="str">
        <f aca="false">IF($Y431="","",INDEX(Codes!$E$2:$E$108,MATCH("B4|"&amp;$Y431,Codes!$A$2:$A$108,0)))</f>
        <v/>
      </c>
      <c r="BY431" s="16" t="str">
        <f aca="false">IF($I431="","",INDEX(Codes!$E$2:$E$108,MATCH("A7|"&amp;$I431,Codes!$A$2:$A$108,0)))</f>
        <v/>
      </c>
      <c r="BZ431" s="16" t="str">
        <f aca="false">IF($AU431="","",INDEX(Codes!$E$2:$E$108,MATCH("B8|"&amp;$AU431,Codes!$A$2:$A$108,0)))</f>
        <v/>
      </c>
      <c r="CA431" s="16" t="str">
        <f aca="false">IF($H431="","",INDEX(Codes!$E$2:$E$108,MATCH("A6|"&amp;$H431,Codes!$A$2:$A$108,0)))</f>
        <v/>
      </c>
      <c r="CB431" s="16" t="str">
        <f aca="false">IF($X431="","",IF($X431="phone",1,0))</f>
        <v/>
      </c>
      <c r="CC431" s="16" t="str">
        <f aca="false">IF($BC431="","",8-$BC431)</f>
        <v/>
      </c>
    </row>
    <row r="432" customFormat="false" ht="15" hidden="false" customHeight="false" outlineLevel="0" collapsed="false">
      <c r="BW432" s="16" t="str">
        <f aca="false">IF($R432="","",INDEX(Codes!$E$2:$E$108,MATCH("B1|"&amp;$R432,Codes!$A$2:$A$108,0)))</f>
        <v/>
      </c>
      <c r="BX432" s="16" t="str">
        <f aca="false">IF($Y432="","",INDEX(Codes!$E$2:$E$108,MATCH("B4|"&amp;$Y432,Codes!$A$2:$A$108,0)))</f>
        <v/>
      </c>
      <c r="BY432" s="16" t="str">
        <f aca="false">IF($I432="","",INDEX(Codes!$E$2:$E$108,MATCH("A7|"&amp;$I432,Codes!$A$2:$A$108,0)))</f>
        <v/>
      </c>
      <c r="BZ432" s="16" t="str">
        <f aca="false">IF($AU432="","",INDEX(Codes!$E$2:$E$108,MATCH("B8|"&amp;$AU432,Codes!$A$2:$A$108,0)))</f>
        <v/>
      </c>
      <c r="CA432" s="16" t="str">
        <f aca="false">IF($H432="","",INDEX(Codes!$E$2:$E$108,MATCH("A6|"&amp;$H432,Codes!$A$2:$A$108,0)))</f>
        <v/>
      </c>
      <c r="CB432" s="16" t="str">
        <f aca="false">IF($X432="","",IF($X432="phone",1,0))</f>
        <v/>
      </c>
      <c r="CC432" s="16" t="str">
        <f aca="false">IF($BC432="","",8-$BC432)</f>
        <v/>
      </c>
    </row>
    <row r="433" customFormat="false" ht="15" hidden="false" customHeight="false" outlineLevel="0" collapsed="false">
      <c r="BW433" s="16" t="str">
        <f aca="false">IF($R433="","",INDEX(Codes!$E$2:$E$108,MATCH("B1|"&amp;$R433,Codes!$A$2:$A$108,0)))</f>
        <v/>
      </c>
      <c r="BX433" s="16" t="str">
        <f aca="false">IF($Y433="","",INDEX(Codes!$E$2:$E$108,MATCH("B4|"&amp;$Y433,Codes!$A$2:$A$108,0)))</f>
        <v/>
      </c>
      <c r="BY433" s="16" t="str">
        <f aca="false">IF($I433="","",INDEX(Codes!$E$2:$E$108,MATCH("A7|"&amp;$I433,Codes!$A$2:$A$108,0)))</f>
        <v/>
      </c>
      <c r="BZ433" s="16" t="str">
        <f aca="false">IF($AU433="","",INDEX(Codes!$E$2:$E$108,MATCH("B8|"&amp;$AU433,Codes!$A$2:$A$108,0)))</f>
        <v/>
      </c>
      <c r="CA433" s="16" t="str">
        <f aca="false">IF($H433="","",INDEX(Codes!$E$2:$E$108,MATCH("A6|"&amp;$H433,Codes!$A$2:$A$108,0)))</f>
        <v/>
      </c>
      <c r="CB433" s="16" t="str">
        <f aca="false">IF($X433="","",IF($X433="phone",1,0))</f>
        <v/>
      </c>
      <c r="CC433" s="16" t="str">
        <f aca="false">IF($BC433="","",8-$BC433)</f>
        <v/>
      </c>
    </row>
    <row r="434" customFormat="false" ht="15" hidden="false" customHeight="false" outlineLevel="0" collapsed="false">
      <c r="BW434" s="16" t="str">
        <f aca="false">IF($R434="","",INDEX(Codes!$E$2:$E$108,MATCH("B1|"&amp;$R434,Codes!$A$2:$A$108,0)))</f>
        <v/>
      </c>
      <c r="BX434" s="16" t="str">
        <f aca="false">IF($Y434="","",INDEX(Codes!$E$2:$E$108,MATCH("B4|"&amp;$Y434,Codes!$A$2:$A$108,0)))</f>
        <v/>
      </c>
      <c r="BY434" s="16" t="str">
        <f aca="false">IF($I434="","",INDEX(Codes!$E$2:$E$108,MATCH("A7|"&amp;$I434,Codes!$A$2:$A$108,0)))</f>
        <v/>
      </c>
      <c r="BZ434" s="16" t="str">
        <f aca="false">IF($AU434="","",INDEX(Codes!$E$2:$E$108,MATCH("B8|"&amp;$AU434,Codes!$A$2:$A$108,0)))</f>
        <v/>
      </c>
      <c r="CA434" s="16" t="str">
        <f aca="false">IF($H434="","",INDEX(Codes!$E$2:$E$108,MATCH("A6|"&amp;$H434,Codes!$A$2:$A$108,0)))</f>
        <v/>
      </c>
      <c r="CB434" s="16" t="str">
        <f aca="false">IF($X434="","",IF($X434="phone",1,0))</f>
        <v/>
      </c>
      <c r="CC434" s="16" t="str">
        <f aca="false">IF($BC434="","",8-$BC434)</f>
        <v/>
      </c>
    </row>
    <row r="435" customFormat="false" ht="15" hidden="false" customHeight="false" outlineLevel="0" collapsed="false">
      <c r="BW435" s="16" t="str">
        <f aca="false">IF($R435="","",INDEX(Codes!$E$2:$E$108,MATCH("B1|"&amp;$R435,Codes!$A$2:$A$108,0)))</f>
        <v/>
      </c>
      <c r="BX435" s="16" t="str">
        <f aca="false">IF($Y435="","",INDEX(Codes!$E$2:$E$108,MATCH("B4|"&amp;$Y435,Codes!$A$2:$A$108,0)))</f>
        <v/>
      </c>
      <c r="BY435" s="16" t="str">
        <f aca="false">IF($I435="","",INDEX(Codes!$E$2:$E$108,MATCH("A7|"&amp;$I435,Codes!$A$2:$A$108,0)))</f>
        <v/>
      </c>
      <c r="BZ435" s="16" t="str">
        <f aca="false">IF($AU435="","",INDEX(Codes!$E$2:$E$108,MATCH("B8|"&amp;$AU435,Codes!$A$2:$A$108,0)))</f>
        <v/>
      </c>
      <c r="CA435" s="16" t="str">
        <f aca="false">IF($H435="","",INDEX(Codes!$E$2:$E$108,MATCH("A6|"&amp;$H435,Codes!$A$2:$A$108,0)))</f>
        <v/>
      </c>
      <c r="CB435" s="16" t="str">
        <f aca="false">IF($X435="","",IF($X435="phone",1,0))</f>
        <v/>
      </c>
      <c r="CC435" s="16" t="str">
        <f aca="false">IF($BC435="","",8-$BC435)</f>
        <v/>
      </c>
    </row>
    <row r="436" customFormat="false" ht="15" hidden="false" customHeight="false" outlineLevel="0" collapsed="false">
      <c r="BW436" s="16" t="str">
        <f aca="false">IF($R436="","",INDEX(Codes!$E$2:$E$108,MATCH("B1|"&amp;$R436,Codes!$A$2:$A$108,0)))</f>
        <v/>
      </c>
      <c r="BX436" s="16" t="str">
        <f aca="false">IF($Y436="","",INDEX(Codes!$E$2:$E$108,MATCH("B4|"&amp;$Y436,Codes!$A$2:$A$108,0)))</f>
        <v/>
      </c>
      <c r="BY436" s="16" t="str">
        <f aca="false">IF($I436="","",INDEX(Codes!$E$2:$E$108,MATCH("A7|"&amp;$I436,Codes!$A$2:$A$108,0)))</f>
        <v/>
      </c>
      <c r="BZ436" s="16" t="str">
        <f aca="false">IF($AU436="","",INDEX(Codes!$E$2:$E$108,MATCH("B8|"&amp;$AU436,Codes!$A$2:$A$108,0)))</f>
        <v/>
      </c>
      <c r="CA436" s="16" t="str">
        <f aca="false">IF($H436="","",INDEX(Codes!$E$2:$E$108,MATCH("A6|"&amp;$H436,Codes!$A$2:$A$108,0)))</f>
        <v/>
      </c>
      <c r="CB436" s="16" t="str">
        <f aca="false">IF($X436="","",IF($X436="phone",1,0))</f>
        <v/>
      </c>
      <c r="CC436" s="16" t="str">
        <f aca="false">IF($BC436="","",8-$BC436)</f>
        <v/>
      </c>
    </row>
    <row r="437" customFormat="false" ht="15" hidden="false" customHeight="false" outlineLevel="0" collapsed="false">
      <c r="BW437" s="16" t="str">
        <f aca="false">IF($R437="","",INDEX(Codes!$E$2:$E$108,MATCH("B1|"&amp;$R437,Codes!$A$2:$A$108,0)))</f>
        <v/>
      </c>
      <c r="BX437" s="16" t="str">
        <f aca="false">IF($Y437="","",INDEX(Codes!$E$2:$E$108,MATCH("B4|"&amp;$Y437,Codes!$A$2:$A$108,0)))</f>
        <v/>
      </c>
      <c r="BY437" s="16" t="str">
        <f aca="false">IF($I437="","",INDEX(Codes!$E$2:$E$108,MATCH("A7|"&amp;$I437,Codes!$A$2:$A$108,0)))</f>
        <v/>
      </c>
      <c r="BZ437" s="16" t="str">
        <f aca="false">IF($AU437="","",INDEX(Codes!$E$2:$E$108,MATCH("B8|"&amp;$AU437,Codes!$A$2:$A$108,0)))</f>
        <v/>
      </c>
      <c r="CA437" s="16" t="str">
        <f aca="false">IF($H437="","",INDEX(Codes!$E$2:$E$108,MATCH("A6|"&amp;$H437,Codes!$A$2:$A$108,0)))</f>
        <v/>
      </c>
      <c r="CB437" s="16" t="str">
        <f aca="false">IF($X437="","",IF($X437="phone",1,0))</f>
        <v/>
      </c>
      <c r="CC437" s="16" t="str">
        <f aca="false">IF($BC437="","",8-$BC437)</f>
        <v/>
      </c>
    </row>
    <row r="438" customFormat="false" ht="15" hidden="false" customHeight="false" outlineLevel="0" collapsed="false">
      <c r="BW438" s="16" t="str">
        <f aca="false">IF($R438="","",INDEX(Codes!$E$2:$E$108,MATCH("B1|"&amp;$R438,Codes!$A$2:$A$108,0)))</f>
        <v/>
      </c>
      <c r="BX438" s="16" t="str">
        <f aca="false">IF($Y438="","",INDEX(Codes!$E$2:$E$108,MATCH("B4|"&amp;$Y438,Codes!$A$2:$A$108,0)))</f>
        <v/>
      </c>
      <c r="BY438" s="16" t="str">
        <f aca="false">IF($I438="","",INDEX(Codes!$E$2:$E$108,MATCH("A7|"&amp;$I438,Codes!$A$2:$A$108,0)))</f>
        <v/>
      </c>
      <c r="BZ438" s="16" t="str">
        <f aca="false">IF($AU438="","",INDEX(Codes!$E$2:$E$108,MATCH("B8|"&amp;$AU438,Codes!$A$2:$A$108,0)))</f>
        <v/>
      </c>
      <c r="CA438" s="16" t="str">
        <f aca="false">IF($H438="","",INDEX(Codes!$E$2:$E$108,MATCH("A6|"&amp;$H438,Codes!$A$2:$A$108,0)))</f>
        <v/>
      </c>
      <c r="CB438" s="16" t="str">
        <f aca="false">IF($X438="","",IF($X438="phone",1,0))</f>
        <v/>
      </c>
      <c r="CC438" s="16" t="str">
        <f aca="false">IF($BC438="","",8-$BC438)</f>
        <v/>
      </c>
    </row>
    <row r="439" customFormat="false" ht="15" hidden="false" customHeight="false" outlineLevel="0" collapsed="false">
      <c r="BW439" s="16" t="str">
        <f aca="false">IF($R439="","",INDEX(Codes!$E$2:$E$108,MATCH("B1|"&amp;$R439,Codes!$A$2:$A$108,0)))</f>
        <v/>
      </c>
      <c r="BX439" s="16" t="str">
        <f aca="false">IF($Y439="","",INDEX(Codes!$E$2:$E$108,MATCH("B4|"&amp;$Y439,Codes!$A$2:$A$108,0)))</f>
        <v/>
      </c>
      <c r="BY439" s="16" t="str">
        <f aca="false">IF($I439="","",INDEX(Codes!$E$2:$E$108,MATCH("A7|"&amp;$I439,Codes!$A$2:$A$108,0)))</f>
        <v/>
      </c>
      <c r="BZ439" s="16" t="str">
        <f aca="false">IF($AU439="","",INDEX(Codes!$E$2:$E$108,MATCH("B8|"&amp;$AU439,Codes!$A$2:$A$108,0)))</f>
        <v/>
      </c>
      <c r="CA439" s="16" t="str">
        <f aca="false">IF($H439="","",INDEX(Codes!$E$2:$E$108,MATCH("A6|"&amp;$H439,Codes!$A$2:$A$108,0)))</f>
        <v/>
      </c>
      <c r="CB439" s="16" t="str">
        <f aca="false">IF($X439="","",IF($X439="phone",1,0))</f>
        <v/>
      </c>
      <c r="CC439" s="16" t="str">
        <f aca="false">IF($BC439="","",8-$BC439)</f>
        <v/>
      </c>
    </row>
    <row r="440" customFormat="false" ht="15" hidden="false" customHeight="false" outlineLevel="0" collapsed="false">
      <c r="BW440" s="16" t="str">
        <f aca="false">IF($R440="","",INDEX(Codes!$E$2:$E$108,MATCH("B1|"&amp;$R440,Codes!$A$2:$A$108,0)))</f>
        <v/>
      </c>
      <c r="BX440" s="16" t="str">
        <f aca="false">IF($Y440="","",INDEX(Codes!$E$2:$E$108,MATCH("B4|"&amp;$Y440,Codes!$A$2:$A$108,0)))</f>
        <v/>
      </c>
      <c r="BY440" s="16" t="str">
        <f aca="false">IF($I440="","",INDEX(Codes!$E$2:$E$108,MATCH("A7|"&amp;$I440,Codes!$A$2:$A$108,0)))</f>
        <v/>
      </c>
      <c r="BZ440" s="16" t="str">
        <f aca="false">IF($AU440="","",INDEX(Codes!$E$2:$E$108,MATCH("B8|"&amp;$AU440,Codes!$A$2:$A$108,0)))</f>
        <v/>
      </c>
      <c r="CA440" s="16" t="str">
        <f aca="false">IF($H440="","",INDEX(Codes!$E$2:$E$108,MATCH("A6|"&amp;$H440,Codes!$A$2:$A$108,0)))</f>
        <v/>
      </c>
      <c r="CB440" s="16" t="str">
        <f aca="false">IF($X440="","",IF($X440="phone",1,0))</f>
        <v/>
      </c>
      <c r="CC440" s="16" t="str">
        <f aca="false">IF($BC440="","",8-$BC440)</f>
        <v/>
      </c>
    </row>
    <row r="441" customFormat="false" ht="15" hidden="false" customHeight="false" outlineLevel="0" collapsed="false">
      <c r="BW441" s="16" t="str">
        <f aca="false">IF($R441="","",INDEX(Codes!$E$2:$E$108,MATCH("B1|"&amp;$R441,Codes!$A$2:$A$108,0)))</f>
        <v/>
      </c>
      <c r="BX441" s="16" t="str">
        <f aca="false">IF($Y441="","",INDEX(Codes!$E$2:$E$108,MATCH("B4|"&amp;$Y441,Codes!$A$2:$A$108,0)))</f>
        <v/>
      </c>
      <c r="BY441" s="16" t="str">
        <f aca="false">IF($I441="","",INDEX(Codes!$E$2:$E$108,MATCH("A7|"&amp;$I441,Codes!$A$2:$A$108,0)))</f>
        <v/>
      </c>
      <c r="BZ441" s="16" t="str">
        <f aca="false">IF($AU441="","",INDEX(Codes!$E$2:$E$108,MATCH("B8|"&amp;$AU441,Codes!$A$2:$A$108,0)))</f>
        <v/>
      </c>
      <c r="CA441" s="16" t="str">
        <f aca="false">IF($H441="","",INDEX(Codes!$E$2:$E$108,MATCH("A6|"&amp;$H441,Codes!$A$2:$A$108,0)))</f>
        <v/>
      </c>
      <c r="CB441" s="16" t="str">
        <f aca="false">IF($X441="","",IF($X441="phone",1,0))</f>
        <v/>
      </c>
      <c r="CC441" s="16" t="str">
        <f aca="false">IF($BC441="","",8-$BC441)</f>
        <v/>
      </c>
    </row>
    <row r="442" customFormat="false" ht="15" hidden="false" customHeight="false" outlineLevel="0" collapsed="false">
      <c r="BW442" s="16" t="str">
        <f aca="false">IF($R442="","",INDEX(Codes!$E$2:$E$108,MATCH("B1|"&amp;$R442,Codes!$A$2:$A$108,0)))</f>
        <v/>
      </c>
      <c r="BX442" s="16" t="str">
        <f aca="false">IF($Y442="","",INDEX(Codes!$E$2:$E$108,MATCH("B4|"&amp;$Y442,Codes!$A$2:$A$108,0)))</f>
        <v/>
      </c>
      <c r="BY442" s="16" t="str">
        <f aca="false">IF($I442="","",INDEX(Codes!$E$2:$E$108,MATCH("A7|"&amp;$I442,Codes!$A$2:$A$108,0)))</f>
        <v/>
      </c>
      <c r="BZ442" s="16" t="str">
        <f aca="false">IF($AU442="","",INDEX(Codes!$E$2:$E$108,MATCH("B8|"&amp;$AU442,Codes!$A$2:$A$108,0)))</f>
        <v/>
      </c>
      <c r="CA442" s="16" t="str">
        <f aca="false">IF($H442="","",INDEX(Codes!$E$2:$E$108,MATCH("A6|"&amp;$H442,Codes!$A$2:$A$108,0)))</f>
        <v/>
      </c>
      <c r="CB442" s="16" t="str">
        <f aca="false">IF($X442="","",IF($X442="phone",1,0))</f>
        <v/>
      </c>
      <c r="CC442" s="16" t="str">
        <f aca="false">IF($BC442="","",8-$BC442)</f>
        <v/>
      </c>
    </row>
    <row r="443" customFormat="false" ht="15" hidden="false" customHeight="false" outlineLevel="0" collapsed="false">
      <c r="BW443" s="16" t="str">
        <f aca="false">IF($R443="","",INDEX(Codes!$E$2:$E$108,MATCH("B1|"&amp;$R443,Codes!$A$2:$A$108,0)))</f>
        <v/>
      </c>
      <c r="BX443" s="16" t="str">
        <f aca="false">IF($Y443="","",INDEX(Codes!$E$2:$E$108,MATCH("B4|"&amp;$Y443,Codes!$A$2:$A$108,0)))</f>
        <v/>
      </c>
      <c r="BY443" s="16" t="str">
        <f aca="false">IF($I443="","",INDEX(Codes!$E$2:$E$108,MATCH("A7|"&amp;$I443,Codes!$A$2:$A$108,0)))</f>
        <v/>
      </c>
      <c r="BZ443" s="16" t="str">
        <f aca="false">IF($AU443="","",INDEX(Codes!$E$2:$E$108,MATCH("B8|"&amp;$AU443,Codes!$A$2:$A$108,0)))</f>
        <v/>
      </c>
      <c r="CA443" s="16" t="str">
        <f aca="false">IF($H443="","",INDEX(Codes!$E$2:$E$108,MATCH("A6|"&amp;$H443,Codes!$A$2:$A$108,0)))</f>
        <v/>
      </c>
      <c r="CB443" s="16" t="str">
        <f aca="false">IF($X443="","",IF($X443="phone",1,0))</f>
        <v/>
      </c>
      <c r="CC443" s="16" t="str">
        <f aca="false">IF($BC443="","",8-$BC443)</f>
        <v/>
      </c>
    </row>
    <row r="444" customFormat="false" ht="15" hidden="false" customHeight="false" outlineLevel="0" collapsed="false">
      <c r="BW444" s="16" t="str">
        <f aca="false">IF($R444="","",INDEX(Codes!$E$2:$E$108,MATCH("B1|"&amp;$R444,Codes!$A$2:$A$108,0)))</f>
        <v/>
      </c>
      <c r="BX444" s="16" t="str">
        <f aca="false">IF($Y444="","",INDEX(Codes!$E$2:$E$108,MATCH("B4|"&amp;$Y444,Codes!$A$2:$A$108,0)))</f>
        <v/>
      </c>
      <c r="BY444" s="16" t="str">
        <f aca="false">IF($I444="","",INDEX(Codes!$E$2:$E$108,MATCH("A7|"&amp;$I444,Codes!$A$2:$A$108,0)))</f>
        <v/>
      </c>
      <c r="BZ444" s="16" t="str">
        <f aca="false">IF($AU444="","",INDEX(Codes!$E$2:$E$108,MATCH("B8|"&amp;$AU444,Codes!$A$2:$A$108,0)))</f>
        <v/>
      </c>
      <c r="CA444" s="16" t="str">
        <f aca="false">IF($H444="","",INDEX(Codes!$E$2:$E$108,MATCH("A6|"&amp;$H444,Codes!$A$2:$A$108,0)))</f>
        <v/>
      </c>
      <c r="CB444" s="16" t="str">
        <f aca="false">IF($X444="","",IF($X444="phone",1,0))</f>
        <v/>
      </c>
      <c r="CC444" s="16" t="str">
        <f aca="false">IF($BC444="","",8-$BC444)</f>
        <v/>
      </c>
    </row>
    <row r="445" customFormat="false" ht="15" hidden="false" customHeight="false" outlineLevel="0" collapsed="false">
      <c r="BW445" s="16" t="str">
        <f aca="false">IF($R445="","",INDEX(Codes!$E$2:$E$108,MATCH("B1|"&amp;$R445,Codes!$A$2:$A$108,0)))</f>
        <v/>
      </c>
      <c r="BX445" s="16" t="str">
        <f aca="false">IF($Y445="","",INDEX(Codes!$E$2:$E$108,MATCH("B4|"&amp;$Y445,Codes!$A$2:$A$108,0)))</f>
        <v/>
      </c>
      <c r="BY445" s="16" t="str">
        <f aca="false">IF($I445="","",INDEX(Codes!$E$2:$E$108,MATCH("A7|"&amp;$I445,Codes!$A$2:$A$108,0)))</f>
        <v/>
      </c>
      <c r="BZ445" s="16" t="str">
        <f aca="false">IF($AU445="","",INDEX(Codes!$E$2:$E$108,MATCH("B8|"&amp;$AU445,Codes!$A$2:$A$108,0)))</f>
        <v/>
      </c>
      <c r="CA445" s="16" t="str">
        <f aca="false">IF($H445="","",INDEX(Codes!$E$2:$E$108,MATCH("A6|"&amp;$H445,Codes!$A$2:$A$108,0)))</f>
        <v/>
      </c>
      <c r="CB445" s="16" t="str">
        <f aca="false">IF($X445="","",IF($X445="phone",1,0))</f>
        <v/>
      </c>
      <c r="CC445" s="16" t="str">
        <f aca="false">IF($BC445="","",8-$BC445)</f>
        <v/>
      </c>
    </row>
    <row r="446" customFormat="false" ht="15" hidden="false" customHeight="false" outlineLevel="0" collapsed="false">
      <c r="BW446" s="16" t="str">
        <f aca="false">IF($R446="","",INDEX(Codes!$E$2:$E$108,MATCH("B1|"&amp;$R446,Codes!$A$2:$A$108,0)))</f>
        <v/>
      </c>
      <c r="BX446" s="16" t="str">
        <f aca="false">IF($Y446="","",INDEX(Codes!$E$2:$E$108,MATCH("B4|"&amp;$Y446,Codes!$A$2:$A$108,0)))</f>
        <v/>
      </c>
      <c r="BY446" s="16" t="str">
        <f aca="false">IF($I446="","",INDEX(Codes!$E$2:$E$108,MATCH("A7|"&amp;$I446,Codes!$A$2:$A$108,0)))</f>
        <v/>
      </c>
      <c r="BZ446" s="16" t="str">
        <f aca="false">IF($AU446="","",INDEX(Codes!$E$2:$E$108,MATCH("B8|"&amp;$AU446,Codes!$A$2:$A$108,0)))</f>
        <v/>
      </c>
      <c r="CA446" s="16" t="str">
        <f aca="false">IF($H446="","",INDEX(Codes!$E$2:$E$108,MATCH("A6|"&amp;$H446,Codes!$A$2:$A$108,0)))</f>
        <v/>
      </c>
      <c r="CB446" s="16" t="str">
        <f aca="false">IF($X446="","",IF($X446="phone",1,0))</f>
        <v/>
      </c>
      <c r="CC446" s="16" t="str">
        <f aca="false">IF($BC446="","",8-$BC446)</f>
        <v/>
      </c>
    </row>
    <row r="447" customFormat="false" ht="15" hidden="false" customHeight="false" outlineLevel="0" collapsed="false">
      <c r="BW447" s="16" t="str">
        <f aca="false">IF($R447="","",INDEX(Codes!$E$2:$E$108,MATCH("B1|"&amp;$R447,Codes!$A$2:$A$108,0)))</f>
        <v/>
      </c>
      <c r="BX447" s="16" t="str">
        <f aca="false">IF($Y447="","",INDEX(Codes!$E$2:$E$108,MATCH("B4|"&amp;$Y447,Codes!$A$2:$A$108,0)))</f>
        <v/>
      </c>
      <c r="BY447" s="16" t="str">
        <f aca="false">IF($I447="","",INDEX(Codes!$E$2:$E$108,MATCH("A7|"&amp;$I447,Codes!$A$2:$A$108,0)))</f>
        <v/>
      </c>
      <c r="BZ447" s="16" t="str">
        <f aca="false">IF($AU447="","",INDEX(Codes!$E$2:$E$108,MATCH("B8|"&amp;$AU447,Codes!$A$2:$A$108,0)))</f>
        <v/>
      </c>
      <c r="CA447" s="16" t="str">
        <f aca="false">IF($H447="","",INDEX(Codes!$E$2:$E$108,MATCH("A6|"&amp;$H447,Codes!$A$2:$A$108,0)))</f>
        <v/>
      </c>
      <c r="CB447" s="16" t="str">
        <f aca="false">IF($X447="","",IF($X447="phone",1,0))</f>
        <v/>
      </c>
      <c r="CC447" s="16" t="str">
        <f aca="false">IF($BC447="","",8-$BC447)</f>
        <v/>
      </c>
    </row>
    <row r="448" customFormat="false" ht="15" hidden="false" customHeight="false" outlineLevel="0" collapsed="false">
      <c r="BW448" s="16" t="str">
        <f aca="false">IF($R448="","",INDEX(Codes!$E$2:$E$108,MATCH("B1|"&amp;$R448,Codes!$A$2:$A$108,0)))</f>
        <v/>
      </c>
      <c r="BX448" s="16" t="str">
        <f aca="false">IF($Y448="","",INDEX(Codes!$E$2:$E$108,MATCH("B4|"&amp;$Y448,Codes!$A$2:$A$108,0)))</f>
        <v/>
      </c>
      <c r="BY448" s="16" t="str">
        <f aca="false">IF($I448="","",INDEX(Codes!$E$2:$E$108,MATCH("A7|"&amp;$I448,Codes!$A$2:$A$108,0)))</f>
        <v/>
      </c>
      <c r="BZ448" s="16" t="str">
        <f aca="false">IF($AU448="","",INDEX(Codes!$E$2:$E$108,MATCH("B8|"&amp;$AU448,Codes!$A$2:$A$108,0)))</f>
        <v/>
      </c>
      <c r="CA448" s="16" t="str">
        <f aca="false">IF($H448="","",INDEX(Codes!$E$2:$E$108,MATCH("A6|"&amp;$H448,Codes!$A$2:$A$108,0)))</f>
        <v/>
      </c>
      <c r="CB448" s="16" t="str">
        <f aca="false">IF($X448="","",IF($X448="phone",1,0))</f>
        <v/>
      </c>
      <c r="CC448" s="16" t="str">
        <f aca="false">IF($BC448="","",8-$BC448)</f>
        <v/>
      </c>
    </row>
    <row r="449" customFormat="false" ht="15" hidden="false" customHeight="false" outlineLevel="0" collapsed="false">
      <c r="BW449" s="16" t="str">
        <f aca="false">IF($R449="","",INDEX(Codes!$E$2:$E$108,MATCH("B1|"&amp;$R449,Codes!$A$2:$A$108,0)))</f>
        <v/>
      </c>
      <c r="BX449" s="16" t="str">
        <f aca="false">IF($Y449="","",INDEX(Codes!$E$2:$E$108,MATCH("B4|"&amp;$Y449,Codes!$A$2:$A$108,0)))</f>
        <v/>
      </c>
      <c r="BY449" s="16" t="str">
        <f aca="false">IF($I449="","",INDEX(Codes!$E$2:$E$108,MATCH("A7|"&amp;$I449,Codes!$A$2:$A$108,0)))</f>
        <v/>
      </c>
      <c r="BZ449" s="16" t="str">
        <f aca="false">IF($AU449="","",INDEX(Codes!$E$2:$E$108,MATCH("B8|"&amp;$AU449,Codes!$A$2:$A$108,0)))</f>
        <v/>
      </c>
      <c r="CA449" s="16" t="str">
        <f aca="false">IF($H449="","",INDEX(Codes!$E$2:$E$108,MATCH("A6|"&amp;$H449,Codes!$A$2:$A$108,0)))</f>
        <v/>
      </c>
      <c r="CB449" s="16" t="str">
        <f aca="false">IF($X449="","",IF($X449="phone",1,0))</f>
        <v/>
      </c>
      <c r="CC449" s="16" t="str">
        <f aca="false">IF($BC449="","",8-$BC449)</f>
        <v/>
      </c>
    </row>
    <row r="450" customFormat="false" ht="15" hidden="false" customHeight="false" outlineLevel="0" collapsed="false">
      <c r="BW450" s="16" t="str">
        <f aca="false">IF($R450="","",INDEX(Codes!$E$2:$E$108,MATCH("B1|"&amp;$R450,Codes!$A$2:$A$108,0)))</f>
        <v/>
      </c>
      <c r="BX450" s="16" t="str">
        <f aca="false">IF($Y450="","",INDEX(Codes!$E$2:$E$108,MATCH("B4|"&amp;$Y450,Codes!$A$2:$A$108,0)))</f>
        <v/>
      </c>
      <c r="BY450" s="16" t="str">
        <f aca="false">IF($I450="","",INDEX(Codes!$E$2:$E$108,MATCH("A7|"&amp;$I450,Codes!$A$2:$A$108,0)))</f>
        <v/>
      </c>
      <c r="BZ450" s="16" t="str">
        <f aca="false">IF($AU450="","",INDEX(Codes!$E$2:$E$108,MATCH("B8|"&amp;$AU450,Codes!$A$2:$A$108,0)))</f>
        <v/>
      </c>
      <c r="CA450" s="16" t="str">
        <f aca="false">IF($H450="","",INDEX(Codes!$E$2:$E$108,MATCH("A6|"&amp;$H450,Codes!$A$2:$A$108,0)))</f>
        <v/>
      </c>
      <c r="CB450" s="16" t="str">
        <f aca="false">IF($X450="","",IF($X450="phone",1,0))</f>
        <v/>
      </c>
      <c r="CC450" s="16" t="str">
        <f aca="false">IF($BC450="","",8-$BC450)</f>
        <v/>
      </c>
    </row>
    <row r="451" customFormat="false" ht="15" hidden="false" customHeight="false" outlineLevel="0" collapsed="false">
      <c r="BW451" s="16" t="str">
        <f aca="false">IF($R451="","",INDEX(Codes!$E$2:$E$108,MATCH("B1|"&amp;$R451,Codes!$A$2:$A$108,0)))</f>
        <v/>
      </c>
      <c r="BX451" s="16" t="str">
        <f aca="false">IF($Y451="","",INDEX(Codes!$E$2:$E$108,MATCH("B4|"&amp;$Y451,Codes!$A$2:$A$108,0)))</f>
        <v/>
      </c>
      <c r="BY451" s="16" t="str">
        <f aca="false">IF($I451="","",INDEX(Codes!$E$2:$E$108,MATCH("A7|"&amp;$I451,Codes!$A$2:$A$108,0)))</f>
        <v/>
      </c>
      <c r="BZ451" s="16" t="str">
        <f aca="false">IF($AU451="","",INDEX(Codes!$E$2:$E$108,MATCH("B8|"&amp;$AU451,Codes!$A$2:$A$108,0)))</f>
        <v/>
      </c>
      <c r="CA451" s="16" t="str">
        <f aca="false">IF($H451="","",INDEX(Codes!$E$2:$E$108,MATCH("A6|"&amp;$H451,Codes!$A$2:$A$108,0)))</f>
        <v/>
      </c>
      <c r="CB451" s="16" t="str">
        <f aca="false">IF($X451="","",IF($X451="phone",1,0))</f>
        <v/>
      </c>
      <c r="CC451" s="16" t="str">
        <f aca="false">IF($BC451="","",8-$BC451)</f>
        <v/>
      </c>
    </row>
    <row r="452" customFormat="false" ht="15" hidden="false" customHeight="false" outlineLevel="0" collapsed="false">
      <c r="BW452" s="16" t="str">
        <f aca="false">IF($R452="","",INDEX(Codes!$E$2:$E$108,MATCH("B1|"&amp;$R452,Codes!$A$2:$A$108,0)))</f>
        <v/>
      </c>
      <c r="BX452" s="16" t="str">
        <f aca="false">IF($Y452="","",INDEX(Codes!$E$2:$E$108,MATCH("B4|"&amp;$Y452,Codes!$A$2:$A$108,0)))</f>
        <v/>
      </c>
      <c r="BY452" s="16" t="str">
        <f aca="false">IF($I452="","",INDEX(Codes!$E$2:$E$108,MATCH("A7|"&amp;$I452,Codes!$A$2:$A$108,0)))</f>
        <v/>
      </c>
      <c r="BZ452" s="16" t="str">
        <f aca="false">IF($AU452="","",INDEX(Codes!$E$2:$E$108,MATCH("B8|"&amp;$AU452,Codes!$A$2:$A$108,0)))</f>
        <v/>
      </c>
      <c r="CA452" s="16" t="str">
        <f aca="false">IF($H452="","",INDEX(Codes!$E$2:$E$108,MATCH("A6|"&amp;$H452,Codes!$A$2:$A$108,0)))</f>
        <v/>
      </c>
      <c r="CB452" s="16" t="str">
        <f aca="false">IF($X452="","",IF($X452="phone",1,0))</f>
        <v/>
      </c>
      <c r="CC452" s="16" t="str">
        <f aca="false">IF($BC452="","",8-$BC452)</f>
        <v/>
      </c>
    </row>
    <row r="453" customFormat="false" ht="15" hidden="false" customHeight="false" outlineLevel="0" collapsed="false">
      <c r="BW453" s="16" t="str">
        <f aca="false">IF($R453="","",INDEX(Codes!$E$2:$E$108,MATCH("B1|"&amp;$R453,Codes!$A$2:$A$108,0)))</f>
        <v/>
      </c>
      <c r="BX453" s="16" t="str">
        <f aca="false">IF($Y453="","",INDEX(Codes!$E$2:$E$108,MATCH("B4|"&amp;$Y453,Codes!$A$2:$A$108,0)))</f>
        <v/>
      </c>
      <c r="BY453" s="16" t="str">
        <f aca="false">IF($I453="","",INDEX(Codes!$E$2:$E$108,MATCH("A7|"&amp;$I453,Codes!$A$2:$A$108,0)))</f>
        <v/>
      </c>
      <c r="BZ453" s="16" t="str">
        <f aca="false">IF($AU453="","",INDEX(Codes!$E$2:$E$108,MATCH("B8|"&amp;$AU453,Codes!$A$2:$A$108,0)))</f>
        <v/>
      </c>
      <c r="CA453" s="16" t="str">
        <f aca="false">IF($H453="","",INDEX(Codes!$E$2:$E$108,MATCH("A6|"&amp;$H453,Codes!$A$2:$A$108,0)))</f>
        <v/>
      </c>
      <c r="CB453" s="16" t="str">
        <f aca="false">IF($X453="","",IF($X453="phone",1,0))</f>
        <v/>
      </c>
      <c r="CC453" s="16" t="str">
        <f aca="false">IF($BC453="","",8-$BC453)</f>
        <v/>
      </c>
    </row>
    <row r="454" customFormat="false" ht="15" hidden="false" customHeight="false" outlineLevel="0" collapsed="false">
      <c r="BW454" s="16" t="str">
        <f aca="false">IF($R454="","",INDEX(Codes!$E$2:$E$108,MATCH("B1|"&amp;$R454,Codes!$A$2:$A$108,0)))</f>
        <v/>
      </c>
      <c r="BX454" s="16" t="str">
        <f aca="false">IF($Y454="","",INDEX(Codes!$E$2:$E$108,MATCH("B4|"&amp;$Y454,Codes!$A$2:$A$108,0)))</f>
        <v/>
      </c>
      <c r="BY454" s="16" t="str">
        <f aca="false">IF($I454="","",INDEX(Codes!$E$2:$E$108,MATCH("A7|"&amp;$I454,Codes!$A$2:$A$108,0)))</f>
        <v/>
      </c>
      <c r="BZ454" s="16" t="str">
        <f aca="false">IF($AU454="","",INDEX(Codes!$E$2:$E$108,MATCH("B8|"&amp;$AU454,Codes!$A$2:$A$108,0)))</f>
        <v/>
      </c>
      <c r="CA454" s="16" t="str">
        <f aca="false">IF($H454="","",INDEX(Codes!$E$2:$E$108,MATCH("A6|"&amp;$H454,Codes!$A$2:$A$108,0)))</f>
        <v/>
      </c>
      <c r="CB454" s="16" t="str">
        <f aca="false">IF($X454="","",IF($X454="phone",1,0))</f>
        <v/>
      </c>
      <c r="CC454" s="16" t="str">
        <f aca="false">IF($BC454="","",8-$BC454)</f>
        <v/>
      </c>
    </row>
    <row r="455" customFormat="false" ht="15" hidden="false" customHeight="false" outlineLevel="0" collapsed="false">
      <c r="BW455" s="16" t="str">
        <f aca="false">IF($R455="","",INDEX(Codes!$E$2:$E$108,MATCH("B1|"&amp;$R455,Codes!$A$2:$A$108,0)))</f>
        <v/>
      </c>
      <c r="BX455" s="16" t="str">
        <f aca="false">IF($Y455="","",INDEX(Codes!$E$2:$E$108,MATCH("B4|"&amp;$Y455,Codes!$A$2:$A$108,0)))</f>
        <v/>
      </c>
      <c r="BY455" s="16" t="str">
        <f aca="false">IF($I455="","",INDEX(Codes!$E$2:$E$108,MATCH("A7|"&amp;$I455,Codes!$A$2:$A$108,0)))</f>
        <v/>
      </c>
      <c r="BZ455" s="16" t="str">
        <f aca="false">IF($AU455="","",INDEX(Codes!$E$2:$E$108,MATCH("B8|"&amp;$AU455,Codes!$A$2:$A$108,0)))</f>
        <v/>
      </c>
      <c r="CA455" s="16" t="str">
        <f aca="false">IF($H455="","",INDEX(Codes!$E$2:$E$108,MATCH("A6|"&amp;$H455,Codes!$A$2:$A$108,0)))</f>
        <v/>
      </c>
      <c r="CB455" s="16" t="str">
        <f aca="false">IF($X455="","",IF($X455="phone",1,0))</f>
        <v/>
      </c>
      <c r="CC455" s="16" t="str">
        <f aca="false">IF($BC455="","",8-$BC455)</f>
        <v/>
      </c>
    </row>
    <row r="456" customFormat="false" ht="15" hidden="false" customHeight="false" outlineLevel="0" collapsed="false">
      <c r="BW456" s="16" t="str">
        <f aca="false">IF($R456="","",INDEX(Codes!$E$2:$E$108,MATCH("B1|"&amp;$R456,Codes!$A$2:$A$108,0)))</f>
        <v/>
      </c>
      <c r="BX456" s="16" t="str">
        <f aca="false">IF($Y456="","",INDEX(Codes!$E$2:$E$108,MATCH("B4|"&amp;$Y456,Codes!$A$2:$A$108,0)))</f>
        <v/>
      </c>
      <c r="BY456" s="16" t="str">
        <f aca="false">IF($I456="","",INDEX(Codes!$E$2:$E$108,MATCH("A7|"&amp;$I456,Codes!$A$2:$A$108,0)))</f>
        <v/>
      </c>
      <c r="BZ456" s="16" t="str">
        <f aca="false">IF($AU456="","",INDEX(Codes!$E$2:$E$108,MATCH("B8|"&amp;$AU456,Codes!$A$2:$A$108,0)))</f>
        <v/>
      </c>
      <c r="CA456" s="16" t="str">
        <f aca="false">IF($H456="","",INDEX(Codes!$E$2:$E$108,MATCH("A6|"&amp;$H456,Codes!$A$2:$A$108,0)))</f>
        <v/>
      </c>
      <c r="CB456" s="16" t="str">
        <f aca="false">IF($X456="","",IF($X456="phone",1,0))</f>
        <v/>
      </c>
      <c r="CC456" s="16" t="str">
        <f aca="false">IF($BC456="","",8-$BC456)</f>
        <v/>
      </c>
    </row>
    <row r="457" customFormat="false" ht="15" hidden="false" customHeight="false" outlineLevel="0" collapsed="false">
      <c r="BW457" s="16" t="str">
        <f aca="false">IF($R457="","",INDEX(Codes!$E$2:$E$108,MATCH("B1|"&amp;$R457,Codes!$A$2:$A$108,0)))</f>
        <v/>
      </c>
      <c r="BX457" s="16" t="str">
        <f aca="false">IF($Y457="","",INDEX(Codes!$E$2:$E$108,MATCH("B4|"&amp;$Y457,Codes!$A$2:$A$108,0)))</f>
        <v/>
      </c>
      <c r="BY457" s="16" t="str">
        <f aca="false">IF($I457="","",INDEX(Codes!$E$2:$E$108,MATCH("A7|"&amp;$I457,Codes!$A$2:$A$108,0)))</f>
        <v/>
      </c>
      <c r="BZ457" s="16" t="str">
        <f aca="false">IF($AU457="","",INDEX(Codes!$E$2:$E$108,MATCH("B8|"&amp;$AU457,Codes!$A$2:$A$108,0)))</f>
        <v/>
      </c>
      <c r="CA457" s="16" t="str">
        <f aca="false">IF($H457="","",INDEX(Codes!$E$2:$E$108,MATCH("A6|"&amp;$H457,Codes!$A$2:$A$108,0)))</f>
        <v/>
      </c>
      <c r="CB457" s="16" t="str">
        <f aca="false">IF($X457="","",IF($X457="phone",1,0))</f>
        <v/>
      </c>
      <c r="CC457" s="16" t="str">
        <f aca="false">IF($BC457="","",8-$BC457)</f>
        <v/>
      </c>
    </row>
    <row r="458" customFormat="false" ht="15" hidden="false" customHeight="false" outlineLevel="0" collapsed="false">
      <c r="BW458" s="16" t="str">
        <f aca="false">IF($R458="","",INDEX(Codes!$E$2:$E$108,MATCH("B1|"&amp;$R458,Codes!$A$2:$A$108,0)))</f>
        <v/>
      </c>
      <c r="BX458" s="16" t="str">
        <f aca="false">IF($Y458="","",INDEX(Codes!$E$2:$E$108,MATCH("B4|"&amp;$Y458,Codes!$A$2:$A$108,0)))</f>
        <v/>
      </c>
      <c r="BY458" s="16" t="str">
        <f aca="false">IF($I458="","",INDEX(Codes!$E$2:$E$108,MATCH("A7|"&amp;$I458,Codes!$A$2:$A$108,0)))</f>
        <v/>
      </c>
      <c r="BZ458" s="16" t="str">
        <f aca="false">IF($AU458="","",INDEX(Codes!$E$2:$E$108,MATCH("B8|"&amp;$AU458,Codes!$A$2:$A$108,0)))</f>
        <v/>
      </c>
      <c r="CA458" s="16" t="str">
        <f aca="false">IF($H458="","",INDEX(Codes!$E$2:$E$108,MATCH("A6|"&amp;$H458,Codes!$A$2:$A$108,0)))</f>
        <v/>
      </c>
      <c r="CB458" s="16" t="str">
        <f aca="false">IF($X458="","",IF($X458="phone",1,0))</f>
        <v/>
      </c>
      <c r="CC458" s="16" t="str">
        <f aca="false">IF($BC458="","",8-$BC458)</f>
        <v/>
      </c>
    </row>
    <row r="459" customFormat="false" ht="15" hidden="false" customHeight="false" outlineLevel="0" collapsed="false">
      <c r="BW459" s="16" t="str">
        <f aca="false">IF($R459="","",INDEX(Codes!$E$2:$E$108,MATCH("B1|"&amp;$R459,Codes!$A$2:$A$108,0)))</f>
        <v/>
      </c>
      <c r="BX459" s="16" t="str">
        <f aca="false">IF($Y459="","",INDEX(Codes!$E$2:$E$108,MATCH("B4|"&amp;$Y459,Codes!$A$2:$A$108,0)))</f>
        <v/>
      </c>
      <c r="BY459" s="16" t="str">
        <f aca="false">IF($I459="","",INDEX(Codes!$E$2:$E$108,MATCH("A7|"&amp;$I459,Codes!$A$2:$A$108,0)))</f>
        <v/>
      </c>
      <c r="BZ459" s="16" t="str">
        <f aca="false">IF($AU459="","",INDEX(Codes!$E$2:$E$108,MATCH("B8|"&amp;$AU459,Codes!$A$2:$A$108,0)))</f>
        <v/>
      </c>
      <c r="CA459" s="16" t="str">
        <f aca="false">IF($H459="","",INDEX(Codes!$E$2:$E$108,MATCH("A6|"&amp;$H459,Codes!$A$2:$A$108,0)))</f>
        <v/>
      </c>
      <c r="CB459" s="16" t="str">
        <f aca="false">IF($X459="","",IF($X459="phone",1,0))</f>
        <v/>
      </c>
      <c r="CC459" s="16" t="str">
        <f aca="false">IF($BC459="","",8-$BC459)</f>
        <v/>
      </c>
    </row>
    <row r="460" customFormat="false" ht="15" hidden="false" customHeight="false" outlineLevel="0" collapsed="false">
      <c r="BW460" s="16" t="str">
        <f aca="false">IF($R460="","",INDEX(Codes!$E$2:$E$108,MATCH("B1|"&amp;$R460,Codes!$A$2:$A$108,0)))</f>
        <v/>
      </c>
      <c r="BX460" s="16" t="str">
        <f aca="false">IF($Y460="","",INDEX(Codes!$E$2:$E$108,MATCH("B4|"&amp;$Y460,Codes!$A$2:$A$108,0)))</f>
        <v/>
      </c>
      <c r="BY460" s="16" t="str">
        <f aca="false">IF($I460="","",INDEX(Codes!$E$2:$E$108,MATCH("A7|"&amp;$I460,Codes!$A$2:$A$108,0)))</f>
        <v/>
      </c>
      <c r="BZ460" s="16" t="str">
        <f aca="false">IF($AU460="","",INDEX(Codes!$E$2:$E$108,MATCH("B8|"&amp;$AU460,Codes!$A$2:$A$108,0)))</f>
        <v/>
      </c>
      <c r="CA460" s="16" t="str">
        <f aca="false">IF($H460="","",INDEX(Codes!$E$2:$E$108,MATCH("A6|"&amp;$H460,Codes!$A$2:$A$108,0)))</f>
        <v/>
      </c>
      <c r="CB460" s="16" t="str">
        <f aca="false">IF($X460="","",IF($X460="phone",1,0))</f>
        <v/>
      </c>
      <c r="CC460" s="16" t="str">
        <f aca="false">IF($BC460="","",8-$BC460)</f>
        <v/>
      </c>
    </row>
    <row r="461" customFormat="false" ht="15" hidden="false" customHeight="false" outlineLevel="0" collapsed="false">
      <c r="BW461" s="16" t="str">
        <f aca="false">IF($R461="","",INDEX(Codes!$E$2:$E$108,MATCH("B1|"&amp;$R461,Codes!$A$2:$A$108,0)))</f>
        <v/>
      </c>
      <c r="BX461" s="16" t="str">
        <f aca="false">IF($Y461="","",INDEX(Codes!$E$2:$E$108,MATCH("B4|"&amp;$Y461,Codes!$A$2:$A$108,0)))</f>
        <v/>
      </c>
      <c r="BY461" s="16" t="str">
        <f aca="false">IF($I461="","",INDEX(Codes!$E$2:$E$108,MATCH("A7|"&amp;$I461,Codes!$A$2:$A$108,0)))</f>
        <v/>
      </c>
      <c r="BZ461" s="16" t="str">
        <f aca="false">IF($AU461="","",INDEX(Codes!$E$2:$E$108,MATCH("B8|"&amp;$AU461,Codes!$A$2:$A$108,0)))</f>
        <v/>
      </c>
      <c r="CA461" s="16" t="str">
        <f aca="false">IF($H461="","",INDEX(Codes!$E$2:$E$108,MATCH("A6|"&amp;$H461,Codes!$A$2:$A$108,0)))</f>
        <v/>
      </c>
      <c r="CB461" s="16" t="str">
        <f aca="false">IF($X461="","",IF($X461="phone",1,0))</f>
        <v/>
      </c>
      <c r="CC461" s="16" t="str">
        <f aca="false">IF($BC461="","",8-$BC461)</f>
        <v/>
      </c>
    </row>
    <row r="462" customFormat="false" ht="15" hidden="false" customHeight="false" outlineLevel="0" collapsed="false">
      <c r="BW462" s="16" t="str">
        <f aca="false">IF($R462="","",INDEX(Codes!$E$2:$E$108,MATCH("B1|"&amp;$R462,Codes!$A$2:$A$108,0)))</f>
        <v/>
      </c>
      <c r="BX462" s="16" t="str">
        <f aca="false">IF($Y462="","",INDEX(Codes!$E$2:$E$108,MATCH("B4|"&amp;$Y462,Codes!$A$2:$A$108,0)))</f>
        <v/>
      </c>
      <c r="BY462" s="16" t="str">
        <f aca="false">IF($I462="","",INDEX(Codes!$E$2:$E$108,MATCH("A7|"&amp;$I462,Codes!$A$2:$A$108,0)))</f>
        <v/>
      </c>
      <c r="BZ462" s="16" t="str">
        <f aca="false">IF($AU462="","",INDEX(Codes!$E$2:$E$108,MATCH("B8|"&amp;$AU462,Codes!$A$2:$A$108,0)))</f>
        <v/>
      </c>
      <c r="CA462" s="16" t="str">
        <f aca="false">IF($H462="","",INDEX(Codes!$E$2:$E$108,MATCH("A6|"&amp;$H462,Codes!$A$2:$A$108,0)))</f>
        <v/>
      </c>
      <c r="CB462" s="16" t="str">
        <f aca="false">IF($X462="","",IF($X462="phone",1,0))</f>
        <v/>
      </c>
      <c r="CC462" s="16" t="str">
        <f aca="false">IF($BC462="","",8-$BC462)</f>
        <v/>
      </c>
    </row>
    <row r="463" customFormat="false" ht="15" hidden="false" customHeight="false" outlineLevel="0" collapsed="false">
      <c r="BW463" s="16" t="str">
        <f aca="false">IF($R463="","",INDEX(Codes!$E$2:$E$108,MATCH("B1|"&amp;$R463,Codes!$A$2:$A$108,0)))</f>
        <v/>
      </c>
      <c r="BX463" s="16" t="str">
        <f aca="false">IF($Y463="","",INDEX(Codes!$E$2:$E$108,MATCH("B4|"&amp;$Y463,Codes!$A$2:$A$108,0)))</f>
        <v/>
      </c>
      <c r="BY463" s="16" t="str">
        <f aca="false">IF($I463="","",INDEX(Codes!$E$2:$E$108,MATCH("A7|"&amp;$I463,Codes!$A$2:$A$108,0)))</f>
        <v/>
      </c>
      <c r="BZ463" s="16" t="str">
        <f aca="false">IF($AU463="","",INDEX(Codes!$E$2:$E$108,MATCH("B8|"&amp;$AU463,Codes!$A$2:$A$108,0)))</f>
        <v/>
      </c>
      <c r="CA463" s="16" t="str">
        <f aca="false">IF($H463="","",INDEX(Codes!$E$2:$E$108,MATCH("A6|"&amp;$H463,Codes!$A$2:$A$108,0)))</f>
        <v/>
      </c>
      <c r="CB463" s="16" t="str">
        <f aca="false">IF($X463="","",IF($X463="phone",1,0))</f>
        <v/>
      </c>
      <c r="CC463" s="16" t="str">
        <f aca="false">IF($BC463="","",8-$BC463)</f>
        <v/>
      </c>
    </row>
    <row r="464" customFormat="false" ht="15" hidden="false" customHeight="false" outlineLevel="0" collapsed="false">
      <c r="BW464" s="16" t="str">
        <f aca="false">IF($R464="","",INDEX(Codes!$E$2:$E$108,MATCH("B1|"&amp;$R464,Codes!$A$2:$A$108,0)))</f>
        <v/>
      </c>
      <c r="BX464" s="16" t="str">
        <f aca="false">IF($Y464="","",INDEX(Codes!$E$2:$E$108,MATCH("B4|"&amp;$Y464,Codes!$A$2:$A$108,0)))</f>
        <v/>
      </c>
      <c r="BY464" s="16" t="str">
        <f aca="false">IF($I464="","",INDEX(Codes!$E$2:$E$108,MATCH("A7|"&amp;$I464,Codes!$A$2:$A$108,0)))</f>
        <v/>
      </c>
      <c r="BZ464" s="16" t="str">
        <f aca="false">IF($AU464="","",INDEX(Codes!$E$2:$E$108,MATCH("B8|"&amp;$AU464,Codes!$A$2:$A$108,0)))</f>
        <v/>
      </c>
      <c r="CA464" s="16" t="str">
        <f aca="false">IF($H464="","",INDEX(Codes!$E$2:$E$108,MATCH("A6|"&amp;$H464,Codes!$A$2:$A$108,0)))</f>
        <v/>
      </c>
      <c r="CB464" s="16" t="str">
        <f aca="false">IF($X464="","",IF($X464="phone",1,0))</f>
        <v/>
      </c>
      <c r="CC464" s="16" t="str">
        <f aca="false">IF($BC464="","",8-$BC464)</f>
        <v/>
      </c>
    </row>
    <row r="465" customFormat="false" ht="15" hidden="false" customHeight="false" outlineLevel="0" collapsed="false">
      <c r="BW465" s="16" t="str">
        <f aca="false">IF($R465="","",INDEX(Codes!$E$2:$E$108,MATCH("B1|"&amp;$R465,Codes!$A$2:$A$108,0)))</f>
        <v/>
      </c>
      <c r="BX465" s="16" t="str">
        <f aca="false">IF($Y465="","",INDEX(Codes!$E$2:$E$108,MATCH("B4|"&amp;$Y465,Codes!$A$2:$A$108,0)))</f>
        <v/>
      </c>
      <c r="BY465" s="16" t="str">
        <f aca="false">IF($I465="","",INDEX(Codes!$E$2:$E$108,MATCH("A7|"&amp;$I465,Codes!$A$2:$A$108,0)))</f>
        <v/>
      </c>
      <c r="BZ465" s="16" t="str">
        <f aca="false">IF($AU465="","",INDEX(Codes!$E$2:$E$108,MATCH("B8|"&amp;$AU465,Codes!$A$2:$A$108,0)))</f>
        <v/>
      </c>
      <c r="CA465" s="16" t="str">
        <f aca="false">IF($H465="","",INDEX(Codes!$E$2:$E$108,MATCH("A6|"&amp;$H465,Codes!$A$2:$A$108,0)))</f>
        <v/>
      </c>
      <c r="CB465" s="16" t="str">
        <f aca="false">IF($X465="","",IF($X465="phone",1,0))</f>
        <v/>
      </c>
      <c r="CC465" s="16" t="str">
        <f aca="false">IF($BC465="","",8-$BC465)</f>
        <v/>
      </c>
    </row>
    <row r="466" customFormat="false" ht="15" hidden="false" customHeight="false" outlineLevel="0" collapsed="false">
      <c r="BW466" s="16" t="str">
        <f aca="false">IF($R466="","",INDEX(Codes!$E$2:$E$108,MATCH("B1|"&amp;$R466,Codes!$A$2:$A$108,0)))</f>
        <v/>
      </c>
      <c r="BX466" s="16" t="str">
        <f aca="false">IF($Y466="","",INDEX(Codes!$E$2:$E$108,MATCH("B4|"&amp;$Y466,Codes!$A$2:$A$108,0)))</f>
        <v/>
      </c>
      <c r="BY466" s="16" t="str">
        <f aca="false">IF($I466="","",INDEX(Codes!$E$2:$E$108,MATCH("A7|"&amp;$I466,Codes!$A$2:$A$108,0)))</f>
        <v/>
      </c>
      <c r="BZ466" s="16" t="str">
        <f aca="false">IF($AU466="","",INDEX(Codes!$E$2:$E$108,MATCH("B8|"&amp;$AU466,Codes!$A$2:$A$108,0)))</f>
        <v/>
      </c>
      <c r="CA466" s="16" t="str">
        <f aca="false">IF($H466="","",INDEX(Codes!$E$2:$E$108,MATCH("A6|"&amp;$H466,Codes!$A$2:$A$108,0)))</f>
        <v/>
      </c>
      <c r="CB466" s="16" t="str">
        <f aca="false">IF($X466="","",IF($X466="phone",1,0))</f>
        <v/>
      </c>
      <c r="CC466" s="16" t="str">
        <f aca="false">IF($BC466="","",8-$BC466)</f>
        <v/>
      </c>
    </row>
    <row r="467" customFormat="false" ht="15" hidden="false" customHeight="false" outlineLevel="0" collapsed="false">
      <c r="BW467" s="16" t="str">
        <f aca="false">IF($R467="","",INDEX(Codes!$E$2:$E$108,MATCH("B1|"&amp;$R467,Codes!$A$2:$A$108,0)))</f>
        <v/>
      </c>
      <c r="BX467" s="16" t="str">
        <f aca="false">IF($Y467="","",INDEX(Codes!$E$2:$E$108,MATCH("B4|"&amp;$Y467,Codes!$A$2:$A$108,0)))</f>
        <v/>
      </c>
      <c r="BY467" s="16" t="str">
        <f aca="false">IF($I467="","",INDEX(Codes!$E$2:$E$108,MATCH("A7|"&amp;$I467,Codes!$A$2:$A$108,0)))</f>
        <v/>
      </c>
      <c r="BZ467" s="16" t="str">
        <f aca="false">IF($AU467="","",INDEX(Codes!$E$2:$E$108,MATCH("B8|"&amp;$AU467,Codes!$A$2:$A$108,0)))</f>
        <v/>
      </c>
      <c r="CA467" s="16" t="str">
        <f aca="false">IF($H467="","",INDEX(Codes!$E$2:$E$108,MATCH("A6|"&amp;$H467,Codes!$A$2:$A$108,0)))</f>
        <v/>
      </c>
      <c r="CB467" s="16" t="str">
        <f aca="false">IF($X467="","",IF($X467="phone",1,0))</f>
        <v/>
      </c>
      <c r="CC467" s="16" t="str">
        <f aca="false">IF($BC467="","",8-$BC467)</f>
        <v/>
      </c>
    </row>
    <row r="468" customFormat="false" ht="15" hidden="false" customHeight="false" outlineLevel="0" collapsed="false">
      <c r="BW468" s="16" t="str">
        <f aca="false">IF($R468="","",INDEX(Codes!$E$2:$E$108,MATCH("B1|"&amp;$R468,Codes!$A$2:$A$108,0)))</f>
        <v/>
      </c>
      <c r="BX468" s="16" t="str">
        <f aca="false">IF($Y468="","",INDEX(Codes!$E$2:$E$108,MATCH("B4|"&amp;$Y468,Codes!$A$2:$A$108,0)))</f>
        <v/>
      </c>
      <c r="BY468" s="16" t="str">
        <f aca="false">IF($I468="","",INDEX(Codes!$E$2:$E$108,MATCH("A7|"&amp;$I468,Codes!$A$2:$A$108,0)))</f>
        <v/>
      </c>
      <c r="BZ468" s="16" t="str">
        <f aca="false">IF($AU468="","",INDEX(Codes!$E$2:$E$108,MATCH("B8|"&amp;$AU468,Codes!$A$2:$A$108,0)))</f>
        <v/>
      </c>
      <c r="CA468" s="16" t="str">
        <f aca="false">IF($H468="","",INDEX(Codes!$E$2:$E$108,MATCH("A6|"&amp;$H468,Codes!$A$2:$A$108,0)))</f>
        <v/>
      </c>
      <c r="CB468" s="16" t="str">
        <f aca="false">IF($X468="","",IF($X468="phone",1,0))</f>
        <v/>
      </c>
      <c r="CC468" s="16" t="str">
        <f aca="false">IF($BC468="","",8-$BC468)</f>
        <v/>
      </c>
    </row>
    <row r="469" customFormat="false" ht="15" hidden="false" customHeight="false" outlineLevel="0" collapsed="false">
      <c r="BW469" s="16" t="str">
        <f aca="false">IF($R469="","",INDEX(Codes!$E$2:$E$108,MATCH("B1|"&amp;$R469,Codes!$A$2:$A$108,0)))</f>
        <v/>
      </c>
      <c r="BX469" s="16" t="str">
        <f aca="false">IF($Y469="","",INDEX(Codes!$E$2:$E$108,MATCH("B4|"&amp;$Y469,Codes!$A$2:$A$108,0)))</f>
        <v/>
      </c>
      <c r="BY469" s="16" t="str">
        <f aca="false">IF($I469="","",INDEX(Codes!$E$2:$E$108,MATCH("A7|"&amp;$I469,Codes!$A$2:$A$108,0)))</f>
        <v/>
      </c>
      <c r="BZ469" s="16" t="str">
        <f aca="false">IF($AU469="","",INDEX(Codes!$E$2:$E$108,MATCH("B8|"&amp;$AU469,Codes!$A$2:$A$108,0)))</f>
        <v/>
      </c>
      <c r="CA469" s="16" t="str">
        <f aca="false">IF($H469="","",INDEX(Codes!$E$2:$E$108,MATCH("A6|"&amp;$H469,Codes!$A$2:$A$108,0)))</f>
        <v/>
      </c>
      <c r="CB469" s="16" t="str">
        <f aca="false">IF($X469="","",IF($X469="phone",1,0))</f>
        <v/>
      </c>
      <c r="CC469" s="16" t="str">
        <f aca="false">IF($BC469="","",8-$BC469)</f>
        <v/>
      </c>
    </row>
    <row r="470" customFormat="false" ht="15" hidden="false" customHeight="false" outlineLevel="0" collapsed="false">
      <c r="BW470" s="16" t="str">
        <f aca="false">IF($R470="","",INDEX(Codes!$E$2:$E$108,MATCH("B1|"&amp;$R470,Codes!$A$2:$A$108,0)))</f>
        <v/>
      </c>
      <c r="BX470" s="16" t="str">
        <f aca="false">IF($Y470="","",INDEX(Codes!$E$2:$E$108,MATCH("B4|"&amp;$Y470,Codes!$A$2:$A$108,0)))</f>
        <v/>
      </c>
      <c r="BY470" s="16" t="str">
        <f aca="false">IF($I470="","",INDEX(Codes!$E$2:$E$108,MATCH("A7|"&amp;$I470,Codes!$A$2:$A$108,0)))</f>
        <v/>
      </c>
      <c r="BZ470" s="16" t="str">
        <f aca="false">IF($AU470="","",INDEX(Codes!$E$2:$E$108,MATCH("B8|"&amp;$AU470,Codes!$A$2:$A$108,0)))</f>
        <v/>
      </c>
      <c r="CA470" s="16" t="str">
        <f aca="false">IF($H470="","",INDEX(Codes!$E$2:$E$108,MATCH("A6|"&amp;$H470,Codes!$A$2:$A$108,0)))</f>
        <v/>
      </c>
      <c r="CB470" s="16" t="str">
        <f aca="false">IF($X470="","",IF($X470="phone",1,0))</f>
        <v/>
      </c>
      <c r="CC470" s="16" t="str">
        <f aca="false">IF($BC470="","",8-$BC470)</f>
        <v/>
      </c>
    </row>
    <row r="471" customFormat="false" ht="15" hidden="false" customHeight="false" outlineLevel="0" collapsed="false">
      <c r="BW471" s="16" t="str">
        <f aca="false">IF($R471="","",INDEX(Codes!$E$2:$E$108,MATCH("B1|"&amp;$R471,Codes!$A$2:$A$108,0)))</f>
        <v/>
      </c>
      <c r="BX471" s="16" t="str">
        <f aca="false">IF($Y471="","",INDEX(Codes!$E$2:$E$108,MATCH("B4|"&amp;$Y471,Codes!$A$2:$A$108,0)))</f>
        <v/>
      </c>
      <c r="BY471" s="16" t="str">
        <f aca="false">IF($I471="","",INDEX(Codes!$E$2:$E$108,MATCH("A7|"&amp;$I471,Codes!$A$2:$A$108,0)))</f>
        <v/>
      </c>
      <c r="BZ471" s="16" t="str">
        <f aca="false">IF($AU471="","",INDEX(Codes!$E$2:$E$108,MATCH("B8|"&amp;$AU471,Codes!$A$2:$A$108,0)))</f>
        <v/>
      </c>
      <c r="CA471" s="16" t="str">
        <f aca="false">IF($H471="","",INDEX(Codes!$E$2:$E$108,MATCH("A6|"&amp;$H471,Codes!$A$2:$A$108,0)))</f>
        <v/>
      </c>
      <c r="CB471" s="16" t="str">
        <f aca="false">IF($X471="","",IF($X471="phone",1,0))</f>
        <v/>
      </c>
      <c r="CC471" s="16" t="str">
        <f aca="false">IF($BC471="","",8-$BC471)</f>
        <v/>
      </c>
    </row>
    <row r="472" customFormat="false" ht="15" hidden="false" customHeight="false" outlineLevel="0" collapsed="false">
      <c r="BW472" s="16" t="str">
        <f aca="false">IF($R472="","",INDEX(Codes!$E$2:$E$108,MATCH("B1|"&amp;$R472,Codes!$A$2:$A$108,0)))</f>
        <v/>
      </c>
      <c r="BX472" s="16" t="str">
        <f aca="false">IF($Y472="","",INDEX(Codes!$E$2:$E$108,MATCH("B4|"&amp;$Y472,Codes!$A$2:$A$108,0)))</f>
        <v/>
      </c>
      <c r="BY472" s="16" t="str">
        <f aca="false">IF($I472="","",INDEX(Codes!$E$2:$E$108,MATCH("A7|"&amp;$I472,Codes!$A$2:$A$108,0)))</f>
        <v/>
      </c>
      <c r="BZ472" s="16" t="str">
        <f aca="false">IF($AU472="","",INDEX(Codes!$E$2:$E$108,MATCH("B8|"&amp;$AU472,Codes!$A$2:$A$108,0)))</f>
        <v/>
      </c>
      <c r="CA472" s="16" t="str">
        <f aca="false">IF($H472="","",INDEX(Codes!$E$2:$E$108,MATCH("A6|"&amp;$H472,Codes!$A$2:$A$108,0)))</f>
        <v/>
      </c>
      <c r="CB472" s="16" t="str">
        <f aca="false">IF($X472="","",IF($X472="phone",1,0))</f>
        <v/>
      </c>
      <c r="CC472" s="16" t="str">
        <f aca="false">IF($BC472="","",8-$BC472)</f>
        <v/>
      </c>
    </row>
    <row r="473" customFormat="false" ht="15" hidden="false" customHeight="false" outlineLevel="0" collapsed="false">
      <c r="BW473" s="16" t="str">
        <f aca="false">IF($R473="","",INDEX(Codes!$E$2:$E$108,MATCH("B1|"&amp;$R473,Codes!$A$2:$A$108,0)))</f>
        <v/>
      </c>
      <c r="BX473" s="16" t="str">
        <f aca="false">IF($Y473="","",INDEX(Codes!$E$2:$E$108,MATCH("B4|"&amp;$Y473,Codes!$A$2:$A$108,0)))</f>
        <v/>
      </c>
      <c r="BY473" s="16" t="str">
        <f aca="false">IF($I473="","",INDEX(Codes!$E$2:$E$108,MATCH("A7|"&amp;$I473,Codes!$A$2:$A$108,0)))</f>
        <v/>
      </c>
      <c r="BZ473" s="16" t="str">
        <f aca="false">IF($AU473="","",INDEX(Codes!$E$2:$E$108,MATCH("B8|"&amp;$AU473,Codes!$A$2:$A$108,0)))</f>
        <v/>
      </c>
      <c r="CA473" s="16" t="str">
        <f aca="false">IF($H473="","",INDEX(Codes!$E$2:$E$108,MATCH("A6|"&amp;$H473,Codes!$A$2:$A$108,0)))</f>
        <v/>
      </c>
      <c r="CB473" s="16" t="str">
        <f aca="false">IF($X473="","",IF($X473="phone",1,0))</f>
        <v/>
      </c>
      <c r="CC473" s="16" t="str">
        <f aca="false">IF($BC473="","",8-$BC473)</f>
        <v/>
      </c>
    </row>
    <row r="474" customFormat="false" ht="15" hidden="false" customHeight="false" outlineLevel="0" collapsed="false">
      <c r="BW474" s="16" t="str">
        <f aca="false">IF($R474="","",INDEX(Codes!$E$2:$E$108,MATCH("B1|"&amp;$R474,Codes!$A$2:$A$108,0)))</f>
        <v/>
      </c>
      <c r="BX474" s="16" t="str">
        <f aca="false">IF($Y474="","",INDEX(Codes!$E$2:$E$108,MATCH("B4|"&amp;$Y474,Codes!$A$2:$A$108,0)))</f>
        <v/>
      </c>
      <c r="BY474" s="16" t="str">
        <f aca="false">IF($I474="","",INDEX(Codes!$E$2:$E$108,MATCH("A7|"&amp;$I474,Codes!$A$2:$A$108,0)))</f>
        <v/>
      </c>
      <c r="BZ474" s="16" t="str">
        <f aca="false">IF($AU474="","",INDEX(Codes!$E$2:$E$108,MATCH("B8|"&amp;$AU474,Codes!$A$2:$A$108,0)))</f>
        <v/>
      </c>
      <c r="CA474" s="16" t="str">
        <f aca="false">IF($H474="","",INDEX(Codes!$E$2:$E$108,MATCH("A6|"&amp;$H474,Codes!$A$2:$A$108,0)))</f>
        <v/>
      </c>
      <c r="CB474" s="16" t="str">
        <f aca="false">IF($X474="","",IF($X474="phone",1,0))</f>
        <v/>
      </c>
      <c r="CC474" s="16" t="str">
        <f aca="false">IF($BC474="","",8-$BC474)</f>
        <v/>
      </c>
    </row>
    <row r="475" customFormat="false" ht="15" hidden="false" customHeight="false" outlineLevel="0" collapsed="false">
      <c r="BW475" s="16" t="str">
        <f aca="false">IF($R475="","",INDEX(Codes!$E$2:$E$108,MATCH("B1|"&amp;$R475,Codes!$A$2:$A$108,0)))</f>
        <v/>
      </c>
      <c r="BX475" s="16" t="str">
        <f aca="false">IF($Y475="","",INDEX(Codes!$E$2:$E$108,MATCH("B4|"&amp;$Y475,Codes!$A$2:$A$108,0)))</f>
        <v/>
      </c>
      <c r="BY475" s="16" t="str">
        <f aca="false">IF($I475="","",INDEX(Codes!$E$2:$E$108,MATCH("A7|"&amp;$I475,Codes!$A$2:$A$108,0)))</f>
        <v/>
      </c>
      <c r="BZ475" s="16" t="str">
        <f aca="false">IF($AU475="","",INDEX(Codes!$E$2:$E$108,MATCH("B8|"&amp;$AU475,Codes!$A$2:$A$108,0)))</f>
        <v/>
      </c>
      <c r="CA475" s="16" t="str">
        <f aca="false">IF($H475="","",INDEX(Codes!$E$2:$E$108,MATCH("A6|"&amp;$H475,Codes!$A$2:$A$108,0)))</f>
        <v/>
      </c>
      <c r="CB475" s="16" t="str">
        <f aca="false">IF($X475="","",IF($X475="phone",1,0))</f>
        <v/>
      </c>
      <c r="CC475" s="16" t="str">
        <f aca="false">IF($BC475="","",8-$BC475)</f>
        <v/>
      </c>
    </row>
    <row r="476" customFormat="false" ht="15" hidden="false" customHeight="false" outlineLevel="0" collapsed="false">
      <c r="BW476" s="16" t="str">
        <f aca="false">IF($R476="","",INDEX(Codes!$E$2:$E$108,MATCH("B1|"&amp;$R476,Codes!$A$2:$A$108,0)))</f>
        <v/>
      </c>
      <c r="BX476" s="16" t="str">
        <f aca="false">IF($Y476="","",INDEX(Codes!$E$2:$E$108,MATCH("B4|"&amp;$Y476,Codes!$A$2:$A$108,0)))</f>
        <v/>
      </c>
      <c r="BY476" s="16" t="str">
        <f aca="false">IF($I476="","",INDEX(Codes!$E$2:$E$108,MATCH("A7|"&amp;$I476,Codes!$A$2:$A$108,0)))</f>
        <v/>
      </c>
      <c r="BZ476" s="16" t="str">
        <f aca="false">IF($AU476="","",INDEX(Codes!$E$2:$E$108,MATCH("B8|"&amp;$AU476,Codes!$A$2:$A$108,0)))</f>
        <v/>
      </c>
      <c r="CA476" s="16" t="str">
        <f aca="false">IF($H476="","",INDEX(Codes!$E$2:$E$108,MATCH("A6|"&amp;$H476,Codes!$A$2:$A$108,0)))</f>
        <v/>
      </c>
      <c r="CB476" s="16" t="str">
        <f aca="false">IF($X476="","",IF($X476="phone",1,0))</f>
        <v/>
      </c>
      <c r="CC476" s="16" t="str">
        <f aca="false">IF($BC476="","",8-$BC476)</f>
        <v/>
      </c>
    </row>
    <row r="477" customFormat="false" ht="15" hidden="false" customHeight="false" outlineLevel="0" collapsed="false">
      <c r="BW477" s="16" t="str">
        <f aca="false">IF($R477="","",INDEX(Codes!$E$2:$E$108,MATCH("B1|"&amp;$R477,Codes!$A$2:$A$108,0)))</f>
        <v/>
      </c>
      <c r="BX477" s="16" t="str">
        <f aca="false">IF($Y477="","",INDEX(Codes!$E$2:$E$108,MATCH("B4|"&amp;$Y477,Codes!$A$2:$A$108,0)))</f>
        <v/>
      </c>
      <c r="BY477" s="16" t="str">
        <f aca="false">IF($I477="","",INDEX(Codes!$E$2:$E$108,MATCH("A7|"&amp;$I477,Codes!$A$2:$A$108,0)))</f>
        <v/>
      </c>
      <c r="BZ477" s="16" t="str">
        <f aca="false">IF($AU477="","",INDEX(Codes!$E$2:$E$108,MATCH("B8|"&amp;$AU477,Codes!$A$2:$A$108,0)))</f>
        <v/>
      </c>
      <c r="CA477" s="16" t="str">
        <f aca="false">IF($H477="","",INDEX(Codes!$E$2:$E$108,MATCH("A6|"&amp;$H477,Codes!$A$2:$A$108,0)))</f>
        <v/>
      </c>
      <c r="CB477" s="16" t="str">
        <f aca="false">IF($X477="","",IF($X477="phone",1,0))</f>
        <v/>
      </c>
      <c r="CC477" s="16" t="str">
        <f aca="false">IF($BC477="","",8-$BC477)</f>
        <v/>
      </c>
    </row>
    <row r="478" customFormat="false" ht="15" hidden="false" customHeight="false" outlineLevel="0" collapsed="false">
      <c r="BW478" s="16" t="str">
        <f aca="false">IF($R478="","",INDEX(Codes!$E$2:$E$108,MATCH("B1|"&amp;$R478,Codes!$A$2:$A$108,0)))</f>
        <v/>
      </c>
      <c r="BX478" s="16" t="str">
        <f aca="false">IF($Y478="","",INDEX(Codes!$E$2:$E$108,MATCH("B4|"&amp;$Y478,Codes!$A$2:$A$108,0)))</f>
        <v/>
      </c>
      <c r="BY478" s="16" t="str">
        <f aca="false">IF($I478="","",INDEX(Codes!$E$2:$E$108,MATCH("A7|"&amp;$I478,Codes!$A$2:$A$108,0)))</f>
        <v/>
      </c>
      <c r="BZ478" s="16" t="str">
        <f aca="false">IF($AU478="","",INDEX(Codes!$E$2:$E$108,MATCH("B8|"&amp;$AU478,Codes!$A$2:$A$108,0)))</f>
        <v/>
      </c>
      <c r="CA478" s="16" t="str">
        <f aca="false">IF($H478="","",INDEX(Codes!$E$2:$E$108,MATCH("A6|"&amp;$H478,Codes!$A$2:$A$108,0)))</f>
        <v/>
      </c>
      <c r="CB478" s="16" t="str">
        <f aca="false">IF($X478="","",IF($X478="phone",1,0))</f>
        <v/>
      </c>
      <c r="CC478" s="16" t="str">
        <f aca="false">IF($BC478="","",8-$BC478)</f>
        <v/>
      </c>
    </row>
    <row r="479" customFormat="false" ht="15" hidden="false" customHeight="false" outlineLevel="0" collapsed="false">
      <c r="BW479" s="16" t="str">
        <f aca="false">IF($R479="","",INDEX(Codes!$E$2:$E$108,MATCH("B1|"&amp;$R479,Codes!$A$2:$A$108,0)))</f>
        <v/>
      </c>
      <c r="BX479" s="16" t="str">
        <f aca="false">IF($Y479="","",INDEX(Codes!$E$2:$E$108,MATCH("B4|"&amp;$Y479,Codes!$A$2:$A$108,0)))</f>
        <v/>
      </c>
      <c r="BY479" s="16" t="str">
        <f aca="false">IF($I479="","",INDEX(Codes!$E$2:$E$108,MATCH("A7|"&amp;$I479,Codes!$A$2:$A$108,0)))</f>
        <v/>
      </c>
      <c r="BZ479" s="16" t="str">
        <f aca="false">IF($AU479="","",INDEX(Codes!$E$2:$E$108,MATCH("B8|"&amp;$AU479,Codes!$A$2:$A$108,0)))</f>
        <v/>
      </c>
      <c r="CA479" s="16" t="str">
        <f aca="false">IF($H479="","",INDEX(Codes!$E$2:$E$108,MATCH("A6|"&amp;$H479,Codes!$A$2:$A$108,0)))</f>
        <v/>
      </c>
      <c r="CB479" s="16" t="str">
        <f aca="false">IF($X479="","",IF($X479="phone",1,0))</f>
        <v/>
      </c>
      <c r="CC479" s="16" t="str">
        <f aca="false">IF($BC479="","",8-$BC479)</f>
        <v/>
      </c>
    </row>
    <row r="480" customFormat="false" ht="15" hidden="false" customHeight="false" outlineLevel="0" collapsed="false">
      <c r="BW480" s="16" t="str">
        <f aca="false">IF($R480="","",INDEX(Codes!$E$2:$E$108,MATCH("B1|"&amp;$R480,Codes!$A$2:$A$108,0)))</f>
        <v/>
      </c>
      <c r="BX480" s="16" t="str">
        <f aca="false">IF($Y480="","",INDEX(Codes!$E$2:$E$108,MATCH("B4|"&amp;$Y480,Codes!$A$2:$A$108,0)))</f>
        <v/>
      </c>
      <c r="BY480" s="16" t="str">
        <f aca="false">IF($I480="","",INDEX(Codes!$E$2:$E$108,MATCH("A7|"&amp;$I480,Codes!$A$2:$A$108,0)))</f>
        <v/>
      </c>
      <c r="BZ480" s="16" t="str">
        <f aca="false">IF($AU480="","",INDEX(Codes!$E$2:$E$108,MATCH("B8|"&amp;$AU480,Codes!$A$2:$A$108,0)))</f>
        <v/>
      </c>
      <c r="CA480" s="16" t="str">
        <f aca="false">IF($H480="","",INDEX(Codes!$E$2:$E$108,MATCH("A6|"&amp;$H480,Codes!$A$2:$A$108,0)))</f>
        <v/>
      </c>
      <c r="CB480" s="16" t="str">
        <f aca="false">IF($X480="","",IF($X480="phone",1,0))</f>
        <v/>
      </c>
      <c r="CC480" s="16" t="str">
        <f aca="false">IF($BC480="","",8-$BC480)</f>
        <v/>
      </c>
    </row>
    <row r="481" customFormat="false" ht="15" hidden="false" customHeight="false" outlineLevel="0" collapsed="false">
      <c r="BW481" s="16" t="str">
        <f aca="false">IF($R481="","",INDEX(Codes!$E$2:$E$108,MATCH("B1|"&amp;$R481,Codes!$A$2:$A$108,0)))</f>
        <v/>
      </c>
      <c r="BX481" s="16" t="str">
        <f aca="false">IF($Y481="","",INDEX(Codes!$E$2:$E$108,MATCH("B4|"&amp;$Y481,Codes!$A$2:$A$108,0)))</f>
        <v/>
      </c>
      <c r="BY481" s="16" t="str">
        <f aca="false">IF($I481="","",INDEX(Codes!$E$2:$E$108,MATCH("A7|"&amp;$I481,Codes!$A$2:$A$108,0)))</f>
        <v/>
      </c>
      <c r="BZ481" s="16" t="str">
        <f aca="false">IF($AU481="","",INDEX(Codes!$E$2:$E$108,MATCH("B8|"&amp;$AU481,Codes!$A$2:$A$108,0)))</f>
        <v/>
      </c>
      <c r="CA481" s="16" t="str">
        <f aca="false">IF($H481="","",INDEX(Codes!$E$2:$E$108,MATCH("A6|"&amp;$H481,Codes!$A$2:$A$108,0)))</f>
        <v/>
      </c>
      <c r="CB481" s="16" t="str">
        <f aca="false">IF($X481="","",IF($X481="phone",1,0))</f>
        <v/>
      </c>
      <c r="CC481" s="16" t="str">
        <f aca="false">IF($BC481="","",8-$BC481)</f>
        <v/>
      </c>
    </row>
    <row r="482" customFormat="false" ht="15" hidden="false" customHeight="false" outlineLevel="0" collapsed="false">
      <c r="BW482" s="16" t="str">
        <f aca="false">IF($R482="","",INDEX(Codes!$E$2:$E$108,MATCH("B1|"&amp;$R482,Codes!$A$2:$A$108,0)))</f>
        <v/>
      </c>
      <c r="BX482" s="16" t="str">
        <f aca="false">IF($Y482="","",INDEX(Codes!$E$2:$E$108,MATCH("B4|"&amp;$Y482,Codes!$A$2:$A$108,0)))</f>
        <v/>
      </c>
      <c r="BY482" s="16" t="str">
        <f aca="false">IF($I482="","",INDEX(Codes!$E$2:$E$108,MATCH("A7|"&amp;$I482,Codes!$A$2:$A$108,0)))</f>
        <v/>
      </c>
      <c r="BZ482" s="16" t="str">
        <f aca="false">IF($AU482="","",INDEX(Codes!$E$2:$E$108,MATCH("B8|"&amp;$AU482,Codes!$A$2:$A$108,0)))</f>
        <v/>
      </c>
      <c r="CA482" s="16" t="str">
        <f aca="false">IF($H482="","",INDEX(Codes!$E$2:$E$108,MATCH("A6|"&amp;$H482,Codes!$A$2:$A$108,0)))</f>
        <v/>
      </c>
      <c r="CB482" s="16" t="str">
        <f aca="false">IF($X482="","",IF($X482="phone",1,0))</f>
        <v/>
      </c>
      <c r="CC482" s="16" t="str">
        <f aca="false">IF($BC482="","",8-$BC482)</f>
        <v/>
      </c>
    </row>
    <row r="483" customFormat="false" ht="15" hidden="false" customHeight="false" outlineLevel="0" collapsed="false">
      <c r="BW483" s="16" t="str">
        <f aca="false">IF($R483="","",INDEX(Codes!$E$2:$E$108,MATCH("B1|"&amp;$R483,Codes!$A$2:$A$108,0)))</f>
        <v/>
      </c>
      <c r="BX483" s="16" t="str">
        <f aca="false">IF($Y483="","",INDEX(Codes!$E$2:$E$108,MATCH("B4|"&amp;$Y483,Codes!$A$2:$A$108,0)))</f>
        <v/>
      </c>
      <c r="BY483" s="16" t="str">
        <f aca="false">IF($I483="","",INDEX(Codes!$E$2:$E$108,MATCH("A7|"&amp;$I483,Codes!$A$2:$A$108,0)))</f>
        <v/>
      </c>
      <c r="BZ483" s="16" t="str">
        <f aca="false">IF($AU483="","",INDEX(Codes!$E$2:$E$108,MATCH("B8|"&amp;$AU483,Codes!$A$2:$A$108,0)))</f>
        <v/>
      </c>
      <c r="CA483" s="16" t="str">
        <f aca="false">IF($H483="","",INDEX(Codes!$E$2:$E$108,MATCH("A6|"&amp;$H483,Codes!$A$2:$A$108,0)))</f>
        <v/>
      </c>
      <c r="CB483" s="16" t="str">
        <f aca="false">IF($X483="","",IF($X483="phone",1,0))</f>
        <v/>
      </c>
      <c r="CC483" s="16" t="str">
        <f aca="false">IF($BC483="","",8-$BC483)</f>
        <v/>
      </c>
    </row>
    <row r="484" customFormat="false" ht="15" hidden="false" customHeight="false" outlineLevel="0" collapsed="false">
      <c r="BW484" s="16" t="str">
        <f aca="false">IF($R484="","",INDEX(Codes!$E$2:$E$108,MATCH("B1|"&amp;$R484,Codes!$A$2:$A$108,0)))</f>
        <v/>
      </c>
      <c r="BX484" s="16" t="str">
        <f aca="false">IF($Y484="","",INDEX(Codes!$E$2:$E$108,MATCH("B4|"&amp;$Y484,Codes!$A$2:$A$108,0)))</f>
        <v/>
      </c>
      <c r="BY484" s="16" t="str">
        <f aca="false">IF($I484="","",INDEX(Codes!$E$2:$E$108,MATCH("A7|"&amp;$I484,Codes!$A$2:$A$108,0)))</f>
        <v/>
      </c>
      <c r="BZ484" s="16" t="str">
        <f aca="false">IF($AU484="","",INDEX(Codes!$E$2:$E$108,MATCH("B8|"&amp;$AU484,Codes!$A$2:$A$108,0)))</f>
        <v/>
      </c>
      <c r="CA484" s="16" t="str">
        <f aca="false">IF($H484="","",INDEX(Codes!$E$2:$E$108,MATCH("A6|"&amp;$H484,Codes!$A$2:$A$108,0)))</f>
        <v/>
      </c>
      <c r="CB484" s="16" t="str">
        <f aca="false">IF($X484="","",IF($X484="phone",1,0))</f>
        <v/>
      </c>
      <c r="CC484" s="16" t="str">
        <f aca="false">IF($BC484="","",8-$BC484)</f>
        <v/>
      </c>
    </row>
    <row r="485" customFormat="false" ht="15" hidden="false" customHeight="false" outlineLevel="0" collapsed="false">
      <c r="BW485" s="16" t="str">
        <f aca="false">IF($R485="","",INDEX(Codes!$E$2:$E$108,MATCH("B1|"&amp;$R485,Codes!$A$2:$A$108,0)))</f>
        <v/>
      </c>
      <c r="BX485" s="16" t="str">
        <f aca="false">IF($Y485="","",INDEX(Codes!$E$2:$E$108,MATCH("B4|"&amp;$Y485,Codes!$A$2:$A$108,0)))</f>
        <v/>
      </c>
      <c r="BY485" s="16" t="str">
        <f aca="false">IF($I485="","",INDEX(Codes!$E$2:$E$108,MATCH("A7|"&amp;$I485,Codes!$A$2:$A$108,0)))</f>
        <v/>
      </c>
      <c r="BZ485" s="16" t="str">
        <f aca="false">IF($AU485="","",INDEX(Codes!$E$2:$E$108,MATCH("B8|"&amp;$AU485,Codes!$A$2:$A$108,0)))</f>
        <v/>
      </c>
      <c r="CA485" s="16" t="str">
        <f aca="false">IF($H485="","",INDEX(Codes!$E$2:$E$108,MATCH("A6|"&amp;$H485,Codes!$A$2:$A$108,0)))</f>
        <v/>
      </c>
      <c r="CB485" s="16" t="str">
        <f aca="false">IF($X485="","",IF($X485="phone",1,0))</f>
        <v/>
      </c>
      <c r="CC485" s="16" t="str">
        <f aca="false">IF($BC485="","",8-$BC485)</f>
        <v/>
      </c>
    </row>
    <row r="486" customFormat="false" ht="15" hidden="false" customHeight="false" outlineLevel="0" collapsed="false">
      <c r="BW486" s="16" t="str">
        <f aca="false">IF($R486="","",INDEX(Codes!$E$2:$E$108,MATCH("B1|"&amp;$R486,Codes!$A$2:$A$108,0)))</f>
        <v/>
      </c>
      <c r="BX486" s="16" t="str">
        <f aca="false">IF($Y486="","",INDEX(Codes!$E$2:$E$108,MATCH("B4|"&amp;$Y486,Codes!$A$2:$A$108,0)))</f>
        <v/>
      </c>
      <c r="BY486" s="16" t="str">
        <f aca="false">IF($I486="","",INDEX(Codes!$E$2:$E$108,MATCH("A7|"&amp;$I486,Codes!$A$2:$A$108,0)))</f>
        <v/>
      </c>
      <c r="BZ486" s="16" t="str">
        <f aca="false">IF($AU486="","",INDEX(Codes!$E$2:$E$108,MATCH("B8|"&amp;$AU486,Codes!$A$2:$A$108,0)))</f>
        <v/>
      </c>
      <c r="CA486" s="16" t="str">
        <f aca="false">IF($H486="","",INDEX(Codes!$E$2:$E$108,MATCH("A6|"&amp;$H486,Codes!$A$2:$A$108,0)))</f>
        <v/>
      </c>
      <c r="CB486" s="16" t="str">
        <f aca="false">IF($X486="","",IF($X486="phone",1,0))</f>
        <v/>
      </c>
      <c r="CC486" s="16" t="str">
        <f aca="false">IF($BC486="","",8-$BC486)</f>
        <v/>
      </c>
    </row>
    <row r="487" customFormat="false" ht="15" hidden="false" customHeight="false" outlineLevel="0" collapsed="false">
      <c r="BW487" s="16" t="str">
        <f aca="false">IF($R487="","",INDEX(Codes!$E$2:$E$108,MATCH("B1|"&amp;$R487,Codes!$A$2:$A$108,0)))</f>
        <v/>
      </c>
      <c r="BX487" s="16" t="str">
        <f aca="false">IF($Y487="","",INDEX(Codes!$E$2:$E$108,MATCH("B4|"&amp;$Y487,Codes!$A$2:$A$108,0)))</f>
        <v/>
      </c>
      <c r="BY487" s="16" t="str">
        <f aca="false">IF($I487="","",INDEX(Codes!$E$2:$E$108,MATCH("A7|"&amp;$I487,Codes!$A$2:$A$108,0)))</f>
        <v/>
      </c>
      <c r="BZ487" s="16" t="str">
        <f aca="false">IF($AU487="","",INDEX(Codes!$E$2:$E$108,MATCH("B8|"&amp;$AU487,Codes!$A$2:$A$108,0)))</f>
        <v/>
      </c>
      <c r="CA487" s="16" t="str">
        <f aca="false">IF($H487="","",INDEX(Codes!$E$2:$E$108,MATCH("A6|"&amp;$H487,Codes!$A$2:$A$108,0)))</f>
        <v/>
      </c>
      <c r="CB487" s="16" t="str">
        <f aca="false">IF($X487="","",IF($X487="phone",1,0))</f>
        <v/>
      </c>
      <c r="CC487" s="16" t="str">
        <f aca="false">IF($BC487="","",8-$BC487)</f>
        <v/>
      </c>
    </row>
    <row r="488" customFormat="false" ht="15" hidden="false" customHeight="false" outlineLevel="0" collapsed="false">
      <c r="BW488" s="16" t="str">
        <f aca="false">IF($R488="","",INDEX(Codes!$E$2:$E$108,MATCH("B1|"&amp;$R488,Codes!$A$2:$A$108,0)))</f>
        <v/>
      </c>
      <c r="BX488" s="16" t="str">
        <f aca="false">IF($Y488="","",INDEX(Codes!$E$2:$E$108,MATCH("B4|"&amp;$Y488,Codes!$A$2:$A$108,0)))</f>
        <v/>
      </c>
      <c r="BY488" s="16" t="str">
        <f aca="false">IF($I488="","",INDEX(Codes!$E$2:$E$108,MATCH("A7|"&amp;$I488,Codes!$A$2:$A$108,0)))</f>
        <v/>
      </c>
      <c r="BZ488" s="16" t="str">
        <f aca="false">IF($AU488="","",INDEX(Codes!$E$2:$E$108,MATCH("B8|"&amp;$AU488,Codes!$A$2:$A$108,0)))</f>
        <v/>
      </c>
      <c r="CA488" s="16" t="str">
        <f aca="false">IF($H488="","",INDEX(Codes!$E$2:$E$108,MATCH("A6|"&amp;$H488,Codes!$A$2:$A$108,0)))</f>
        <v/>
      </c>
      <c r="CB488" s="16" t="str">
        <f aca="false">IF($X488="","",IF($X488="phone",1,0))</f>
        <v/>
      </c>
      <c r="CC488" s="16" t="str">
        <f aca="false">IF($BC488="","",8-$BC488)</f>
        <v/>
      </c>
    </row>
    <row r="489" customFormat="false" ht="15" hidden="false" customHeight="false" outlineLevel="0" collapsed="false">
      <c r="BW489" s="16" t="str">
        <f aca="false">IF($R489="","",INDEX(Codes!$E$2:$E$108,MATCH("B1|"&amp;$R489,Codes!$A$2:$A$108,0)))</f>
        <v/>
      </c>
      <c r="BX489" s="16" t="str">
        <f aca="false">IF($Y489="","",INDEX(Codes!$E$2:$E$108,MATCH("B4|"&amp;$Y489,Codes!$A$2:$A$108,0)))</f>
        <v/>
      </c>
      <c r="BY489" s="16" t="str">
        <f aca="false">IF($I489="","",INDEX(Codes!$E$2:$E$108,MATCH("A7|"&amp;$I489,Codes!$A$2:$A$108,0)))</f>
        <v/>
      </c>
      <c r="BZ489" s="16" t="str">
        <f aca="false">IF($AU489="","",INDEX(Codes!$E$2:$E$108,MATCH("B8|"&amp;$AU489,Codes!$A$2:$A$108,0)))</f>
        <v/>
      </c>
      <c r="CA489" s="16" t="str">
        <f aca="false">IF($H489="","",INDEX(Codes!$E$2:$E$108,MATCH("A6|"&amp;$H489,Codes!$A$2:$A$108,0)))</f>
        <v/>
      </c>
      <c r="CB489" s="16" t="str">
        <f aca="false">IF($X489="","",IF($X489="phone",1,0))</f>
        <v/>
      </c>
      <c r="CC489" s="16" t="str">
        <f aca="false">IF($BC489="","",8-$BC489)</f>
        <v/>
      </c>
    </row>
    <row r="490" customFormat="false" ht="15" hidden="false" customHeight="false" outlineLevel="0" collapsed="false">
      <c r="BW490" s="16" t="str">
        <f aca="false">IF($R490="","",INDEX(Codes!$E$2:$E$108,MATCH("B1|"&amp;$R490,Codes!$A$2:$A$108,0)))</f>
        <v/>
      </c>
      <c r="BX490" s="16" t="str">
        <f aca="false">IF($Y490="","",INDEX(Codes!$E$2:$E$108,MATCH("B4|"&amp;$Y490,Codes!$A$2:$A$108,0)))</f>
        <v/>
      </c>
      <c r="BY490" s="16" t="str">
        <f aca="false">IF($I490="","",INDEX(Codes!$E$2:$E$108,MATCH("A7|"&amp;$I490,Codes!$A$2:$A$108,0)))</f>
        <v/>
      </c>
      <c r="BZ490" s="16" t="str">
        <f aca="false">IF($AU490="","",INDEX(Codes!$E$2:$E$108,MATCH("B8|"&amp;$AU490,Codes!$A$2:$A$108,0)))</f>
        <v/>
      </c>
      <c r="CA490" s="16" t="str">
        <f aca="false">IF($H490="","",INDEX(Codes!$E$2:$E$108,MATCH("A6|"&amp;$H490,Codes!$A$2:$A$108,0)))</f>
        <v/>
      </c>
      <c r="CB490" s="16" t="str">
        <f aca="false">IF($X490="","",IF($X490="phone",1,0))</f>
        <v/>
      </c>
      <c r="CC490" s="16" t="str">
        <f aca="false">IF($BC490="","",8-$BC490)</f>
        <v/>
      </c>
    </row>
    <row r="491" customFormat="false" ht="15" hidden="false" customHeight="false" outlineLevel="0" collapsed="false">
      <c r="BW491" s="16" t="str">
        <f aca="false">IF($R491="","",INDEX(Codes!$E$2:$E$108,MATCH("B1|"&amp;$R491,Codes!$A$2:$A$108,0)))</f>
        <v/>
      </c>
      <c r="BX491" s="16" t="str">
        <f aca="false">IF($Y491="","",INDEX(Codes!$E$2:$E$108,MATCH("B4|"&amp;$Y491,Codes!$A$2:$A$108,0)))</f>
        <v/>
      </c>
      <c r="BY491" s="16" t="str">
        <f aca="false">IF($I491="","",INDEX(Codes!$E$2:$E$108,MATCH("A7|"&amp;$I491,Codes!$A$2:$A$108,0)))</f>
        <v/>
      </c>
      <c r="BZ491" s="16" t="str">
        <f aca="false">IF($AU491="","",INDEX(Codes!$E$2:$E$108,MATCH("B8|"&amp;$AU491,Codes!$A$2:$A$108,0)))</f>
        <v/>
      </c>
      <c r="CA491" s="16" t="str">
        <f aca="false">IF($H491="","",INDEX(Codes!$E$2:$E$108,MATCH("A6|"&amp;$H491,Codes!$A$2:$A$108,0)))</f>
        <v/>
      </c>
      <c r="CB491" s="16" t="str">
        <f aca="false">IF($X491="","",IF($X491="phone",1,0))</f>
        <v/>
      </c>
      <c r="CC491" s="16" t="str">
        <f aca="false">IF($BC491="","",8-$BC491)</f>
        <v/>
      </c>
    </row>
    <row r="492" customFormat="false" ht="15" hidden="false" customHeight="false" outlineLevel="0" collapsed="false">
      <c r="BW492" s="16" t="str">
        <f aca="false">IF($R492="","",INDEX(Codes!$E$2:$E$108,MATCH("B1|"&amp;$R492,Codes!$A$2:$A$108,0)))</f>
        <v/>
      </c>
      <c r="BX492" s="16" t="str">
        <f aca="false">IF($Y492="","",INDEX(Codes!$E$2:$E$108,MATCH("B4|"&amp;$Y492,Codes!$A$2:$A$108,0)))</f>
        <v/>
      </c>
      <c r="BY492" s="16" t="str">
        <f aca="false">IF($I492="","",INDEX(Codes!$E$2:$E$108,MATCH("A7|"&amp;$I492,Codes!$A$2:$A$108,0)))</f>
        <v/>
      </c>
      <c r="BZ492" s="16" t="str">
        <f aca="false">IF($AU492="","",INDEX(Codes!$E$2:$E$108,MATCH("B8|"&amp;$AU492,Codes!$A$2:$A$108,0)))</f>
        <v/>
      </c>
      <c r="CA492" s="16" t="str">
        <f aca="false">IF($H492="","",INDEX(Codes!$E$2:$E$108,MATCH("A6|"&amp;$H492,Codes!$A$2:$A$108,0)))</f>
        <v/>
      </c>
      <c r="CB492" s="16" t="str">
        <f aca="false">IF($X492="","",IF($X492="phone",1,0))</f>
        <v/>
      </c>
      <c r="CC492" s="16" t="str">
        <f aca="false">IF($BC492="","",8-$BC492)</f>
        <v/>
      </c>
    </row>
    <row r="493" customFormat="false" ht="15" hidden="false" customHeight="false" outlineLevel="0" collapsed="false">
      <c r="BW493" s="16" t="str">
        <f aca="false">IF($R493="","",INDEX(Codes!$E$2:$E$108,MATCH("B1|"&amp;$R493,Codes!$A$2:$A$108,0)))</f>
        <v/>
      </c>
      <c r="BX493" s="16" t="str">
        <f aca="false">IF($Y493="","",INDEX(Codes!$E$2:$E$108,MATCH("B4|"&amp;$Y493,Codes!$A$2:$A$108,0)))</f>
        <v/>
      </c>
      <c r="BY493" s="16" t="str">
        <f aca="false">IF($I493="","",INDEX(Codes!$E$2:$E$108,MATCH("A7|"&amp;$I493,Codes!$A$2:$A$108,0)))</f>
        <v/>
      </c>
      <c r="BZ493" s="16" t="str">
        <f aca="false">IF($AU493="","",INDEX(Codes!$E$2:$E$108,MATCH("B8|"&amp;$AU493,Codes!$A$2:$A$108,0)))</f>
        <v/>
      </c>
      <c r="CA493" s="16" t="str">
        <f aca="false">IF($H493="","",INDEX(Codes!$E$2:$E$108,MATCH("A6|"&amp;$H493,Codes!$A$2:$A$108,0)))</f>
        <v/>
      </c>
      <c r="CB493" s="16" t="str">
        <f aca="false">IF($X493="","",IF($X493="phone",1,0))</f>
        <v/>
      </c>
      <c r="CC493" s="16" t="str">
        <f aca="false">IF($BC493="","",8-$BC493)</f>
        <v/>
      </c>
    </row>
    <row r="494" customFormat="false" ht="15" hidden="false" customHeight="false" outlineLevel="0" collapsed="false">
      <c r="BW494" s="16" t="str">
        <f aca="false">IF($R494="","",INDEX(Codes!$E$2:$E$108,MATCH("B1|"&amp;$R494,Codes!$A$2:$A$108,0)))</f>
        <v/>
      </c>
      <c r="BX494" s="16" t="str">
        <f aca="false">IF($Y494="","",INDEX(Codes!$E$2:$E$108,MATCH("B4|"&amp;$Y494,Codes!$A$2:$A$108,0)))</f>
        <v/>
      </c>
      <c r="BY494" s="16" t="str">
        <f aca="false">IF($I494="","",INDEX(Codes!$E$2:$E$108,MATCH("A7|"&amp;$I494,Codes!$A$2:$A$108,0)))</f>
        <v/>
      </c>
      <c r="BZ494" s="16" t="str">
        <f aca="false">IF($AU494="","",INDEX(Codes!$E$2:$E$108,MATCH("B8|"&amp;$AU494,Codes!$A$2:$A$108,0)))</f>
        <v/>
      </c>
      <c r="CA494" s="16" t="str">
        <f aca="false">IF($H494="","",INDEX(Codes!$E$2:$E$108,MATCH("A6|"&amp;$H494,Codes!$A$2:$A$108,0)))</f>
        <v/>
      </c>
      <c r="CB494" s="16" t="str">
        <f aca="false">IF($X494="","",IF($X494="phone",1,0))</f>
        <v/>
      </c>
      <c r="CC494" s="16" t="str">
        <f aca="false">IF($BC494="","",8-$BC494)</f>
        <v/>
      </c>
    </row>
    <row r="495" customFormat="false" ht="15" hidden="false" customHeight="false" outlineLevel="0" collapsed="false">
      <c r="BW495" s="16" t="str">
        <f aca="false">IF($R495="","",INDEX(Codes!$E$2:$E$108,MATCH("B1|"&amp;$R495,Codes!$A$2:$A$108,0)))</f>
        <v/>
      </c>
      <c r="BX495" s="16" t="str">
        <f aca="false">IF($Y495="","",INDEX(Codes!$E$2:$E$108,MATCH("B4|"&amp;$Y495,Codes!$A$2:$A$108,0)))</f>
        <v/>
      </c>
      <c r="BY495" s="16" t="str">
        <f aca="false">IF($I495="","",INDEX(Codes!$E$2:$E$108,MATCH("A7|"&amp;$I495,Codes!$A$2:$A$108,0)))</f>
        <v/>
      </c>
      <c r="BZ495" s="16" t="str">
        <f aca="false">IF($AU495="","",INDEX(Codes!$E$2:$E$108,MATCH("B8|"&amp;$AU495,Codes!$A$2:$A$108,0)))</f>
        <v/>
      </c>
      <c r="CA495" s="16" t="str">
        <f aca="false">IF($H495="","",INDEX(Codes!$E$2:$E$108,MATCH("A6|"&amp;$H495,Codes!$A$2:$A$108,0)))</f>
        <v/>
      </c>
      <c r="CB495" s="16" t="str">
        <f aca="false">IF($X495="","",IF($X495="phone",1,0))</f>
        <v/>
      </c>
      <c r="CC495" s="16" t="str">
        <f aca="false">IF($BC495="","",8-$BC495)</f>
        <v/>
      </c>
    </row>
    <row r="496" customFormat="false" ht="15" hidden="false" customHeight="false" outlineLevel="0" collapsed="false">
      <c r="BW496" s="16" t="str">
        <f aca="false">IF($R496="","",INDEX(Codes!$E$2:$E$108,MATCH("B1|"&amp;$R496,Codes!$A$2:$A$108,0)))</f>
        <v/>
      </c>
      <c r="BX496" s="16" t="str">
        <f aca="false">IF($Y496="","",INDEX(Codes!$E$2:$E$108,MATCH("B4|"&amp;$Y496,Codes!$A$2:$A$108,0)))</f>
        <v/>
      </c>
      <c r="BY496" s="16" t="str">
        <f aca="false">IF($I496="","",INDEX(Codes!$E$2:$E$108,MATCH("A7|"&amp;$I496,Codes!$A$2:$A$108,0)))</f>
        <v/>
      </c>
      <c r="BZ496" s="16" t="str">
        <f aca="false">IF($AU496="","",INDEX(Codes!$E$2:$E$108,MATCH("B8|"&amp;$AU496,Codes!$A$2:$A$108,0)))</f>
        <v/>
      </c>
      <c r="CA496" s="16" t="str">
        <f aca="false">IF($H496="","",INDEX(Codes!$E$2:$E$108,MATCH("A6|"&amp;$H496,Codes!$A$2:$A$108,0)))</f>
        <v/>
      </c>
      <c r="CB496" s="16" t="str">
        <f aca="false">IF($X496="","",IF($X496="phone",1,0))</f>
        <v/>
      </c>
      <c r="CC496" s="16" t="str">
        <f aca="false">IF($BC496="","",8-$BC496)</f>
        <v/>
      </c>
    </row>
    <row r="497" customFormat="false" ht="15" hidden="false" customHeight="false" outlineLevel="0" collapsed="false">
      <c r="BW497" s="16" t="str">
        <f aca="false">IF($R497="","",INDEX(Codes!$E$2:$E$108,MATCH("B1|"&amp;$R497,Codes!$A$2:$A$108,0)))</f>
        <v/>
      </c>
      <c r="BX497" s="16" t="str">
        <f aca="false">IF($Y497="","",INDEX(Codes!$E$2:$E$108,MATCH("B4|"&amp;$Y497,Codes!$A$2:$A$108,0)))</f>
        <v/>
      </c>
      <c r="BY497" s="16" t="str">
        <f aca="false">IF($I497="","",INDEX(Codes!$E$2:$E$108,MATCH("A7|"&amp;$I497,Codes!$A$2:$A$108,0)))</f>
        <v/>
      </c>
      <c r="BZ497" s="16" t="str">
        <f aca="false">IF($AU497="","",INDEX(Codes!$E$2:$E$108,MATCH("B8|"&amp;$AU497,Codes!$A$2:$A$108,0)))</f>
        <v/>
      </c>
      <c r="CA497" s="16" t="str">
        <f aca="false">IF($H497="","",INDEX(Codes!$E$2:$E$108,MATCH("A6|"&amp;$H497,Codes!$A$2:$A$108,0)))</f>
        <v/>
      </c>
      <c r="CB497" s="16" t="str">
        <f aca="false">IF($X497="","",IF($X497="phone",1,0))</f>
        <v/>
      </c>
      <c r="CC497" s="16" t="str">
        <f aca="false">IF($BC497="","",8-$BC497)</f>
        <v/>
      </c>
    </row>
    <row r="498" customFormat="false" ht="15" hidden="false" customHeight="false" outlineLevel="0" collapsed="false">
      <c r="BW498" s="16" t="str">
        <f aca="false">IF($R498="","",INDEX(Codes!$E$2:$E$108,MATCH("B1|"&amp;$R498,Codes!$A$2:$A$108,0)))</f>
        <v/>
      </c>
      <c r="BX498" s="16" t="str">
        <f aca="false">IF($Y498="","",INDEX(Codes!$E$2:$E$108,MATCH("B4|"&amp;$Y498,Codes!$A$2:$A$108,0)))</f>
        <v/>
      </c>
      <c r="BY498" s="16" t="str">
        <f aca="false">IF($I498="","",INDEX(Codes!$E$2:$E$108,MATCH("A7|"&amp;$I498,Codes!$A$2:$A$108,0)))</f>
        <v/>
      </c>
      <c r="BZ498" s="16" t="str">
        <f aca="false">IF($AU498="","",INDEX(Codes!$E$2:$E$108,MATCH("B8|"&amp;$AU498,Codes!$A$2:$A$108,0)))</f>
        <v/>
      </c>
      <c r="CA498" s="16" t="str">
        <f aca="false">IF($H498="","",INDEX(Codes!$E$2:$E$108,MATCH("A6|"&amp;$H498,Codes!$A$2:$A$108,0)))</f>
        <v/>
      </c>
      <c r="CB498" s="16" t="str">
        <f aca="false">IF($X498="","",IF($X498="phone",1,0))</f>
        <v/>
      </c>
      <c r="CC498" s="16" t="str">
        <f aca="false">IF($BC498="","",8-$BC498)</f>
        <v/>
      </c>
    </row>
    <row r="499" customFormat="false" ht="15" hidden="false" customHeight="false" outlineLevel="0" collapsed="false">
      <c r="BW499" s="16" t="str">
        <f aca="false">IF($R499="","",INDEX(Codes!$E$2:$E$108,MATCH("B1|"&amp;$R499,Codes!$A$2:$A$108,0)))</f>
        <v/>
      </c>
      <c r="BX499" s="16" t="str">
        <f aca="false">IF($Y499="","",INDEX(Codes!$E$2:$E$108,MATCH("B4|"&amp;$Y499,Codes!$A$2:$A$108,0)))</f>
        <v/>
      </c>
      <c r="BY499" s="16" t="str">
        <f aca="false">IF($I499="","",INDEX(Codes!$E$2:$E$108,MATCH("A7|"&amp;$I499,Codes!$A$2:$A$108,0)))</f>
        <v/>
      </c>
      <c r="BZ499" s="16" t="str">
        <f aca="false">IF($AU499="","",INDEX(Codes!$E$2:$E$108,MATCH("B8|"&amp;$AU499,Codes!$A$2:$A$108,0)))</f>
        <v/>
      </c>
      <c r="CA499" s="16" t="str">
        <f aca="false">IF($H499="","",INDEX(Codes!$E$2:$E$108,MATCH("A6|"&amp;$H499,Codes!$A$2:$A$108,0)))</f>
        <v/>
      </c>
      <c r="CB499" s="16" t="str">
        <f aca="false">IF($X499="","",IF($X499="phone",1,0))</f>
        <v/>
      </c>
      <c r="CC499" s="16" t="str">
        <f aca="false">IF($BC499="","",8-$BC499)</f>
        <v/>
      </c>
    </row>
    <row r="500" customFormat="false" ht="15" hidden="false" customHeight="false" outlineLevel="0" collapsed="false">
      <c r="BW500" s="16" t="str">
        <f aca="false">IF($R500="","",INDEX(Codes!$E$2:$E$108,MATCH("B1|"&amp;$R500,Codes!$A$2:$A$108,0)))</f>
        <v/>
      </c>
      <c r="BX500" s="16" t="str">
        <f aca="false">IF($Y500="","",INDEX(Codes!$E$2:$E$108,MATCH("B4|"&amp;$Y500,Codes!$A$2:$A$108,0)))</f>
        <v/>
      </c>
      <c r="BY500" s="16" t="str">
        <f aca="false">IF($I500="","",INDEX(Codes!$E$2:$E$108,MATCH("A7|"&amp;$I500,Codes!$A$2:$A$108,0)))</f>
        <v/>
      </c>
      <c r="BZ500" s="16" t="str">
        <f aca="false">IF($AU500="","",INDEX(Codes!$E$2:$E$108,MATCH("B8|"&amp;$AU500,Codes!$A$2:$A$108,0)))</f>
        <v/>
      </c>
      <c r="CA500" s="16" t="str">
        <f aca="false">IF($H500="","",INDEX(Codes!$E$2:$E$108,MATCH("A6|"&amp;$H500,Codes!$A$2:$A$108,0)))</f>
        <v/>
      </c>
      <c r="CB500" s="16" t="str">
        <f aca="false">IF($X500="","",IF($X500="phone",1,0))</f>
        <v/>
      </c>
      <c r="CC500" s="16" t="str">
        <f aca="false">IF($BC500="","",8-$BC500)</f>
        <v/>
      </c>
    </row>
  </sheetData>
  <autoFilter ref="A1:CF1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8" min="3" style="0" width="11"/>
    <col collapsed="false" customWidth="true" hidden="false" outlineLevel="0" max="15" min="9" style="0" width="9"/>
  </cols>
  <sheetData>
    <row r="1" customFormat="false" ht="17.35" hidden="false" customHeight="false" outlineLevel="0" collapsed="false">
      <c r="B1" s="10" t="s">
        <v>1064</v>
      </c>
    </row>
    <row r="2" customFormat="false" ht="15" hidden="false" customHeight="true" outlineLevel="0" collapsed="false">
      <c r="B2" s="11" t="s">
        <v>1065</v>
      </c>
      <c r="C2" s="11"/>
      <c r="D2" s="11"/>
      <c r="E2" s="11"/>
      <c r="F2" s="11"/>
      <c r="G2" s="11"/>
      <c r="H2" s="11"/>
    </row>
    <row r="4" customFormat="false" ht="15" hidden="false" customHeight="false" outlineLevel="0" collapsed="false">
      <c r="B4" s="17" t="s">
        <v>1066</v>
      </c>
      <c r="C4" s="18" t="n">
        <f aca="false">COUNTA(Responses!$A$2:$A$500)</f>
        <v>124</v>
      </c>
    </row>
    <row r="6" customFormat="false" ht="19.5" hidden="false" customHeight="true" outlineLevel="0" collapsed="false">
      <c r="A6" s="3" t="s">
        <v>1067</v>
      </c>
      <c r="B6" s="4"/>
      <c r="C6" s="4"/>
      <c r="D6" s="4"/>
      <c r="E6" s="4"/>
      <c r="F6" s="4"/>
      <c r="G6" s="4"/>
      <c r="H6" s="4"/>
    </row>
    <row r="7" customFormat="false" ht="15" hidden="false" customHeight="false" outlineLevel="0" collapsed="false">
      <c r="B7" s="19" t="s">
        <v>1068</v>
      </c>
      <c r="C7" s="19" t="s">
        <v>1069</v>
      </c>
      <c r="D7" s="19" t="s">
        <v>1070</v>
      </c>
      <c r="E7" s="19" t="s">
        <v>1071</v>
      </c>
    </row>
    <row r="8" customFormat="false" ht="15" hidden="false" customHeight="false" outlineLevel="0" collapsed="false">
      <c r="B8" s="8" t="s">
        <v>272</v>
      </c>
      <c r="C8" s="20" t="s">
        <v>271</v>
      </c>
      <c r="D8" s="20" t="n">
        <f aca="false">COUNTIF(Responses!$C$2:$C$500,"bsc")</f>
        <v>41</v>
      </c>
      <c r="E8" s="21" t="n">
        <f aca="false">D8/'1-Patterns'!$C$4</f>
        <v>0.330645161290323</v>
      </c>
    </row>
    <row r="9" customFormat="false" ht="15" hidden="false" customHeight="false" outlineLevel="0" collapsed="false">
      <c r="B9" s="8" t="s">
        <v>275</v>
      </c>
      <c r="C9" s="20" t="s">
        <v>274</v>
      </c>
      <c r="D9" s="20" t="n">
        <f aca="false">COUNTIF(Responses!$C$2:$C$500,"msc")</f>
        <v>42</v>
      </c>
      <c r="E9" s="21" t="n">
        <f aca="false">D9/'1-Patterns'!$C$4</f>
        <v>0.338709677419355</v>
      </c>
    </row>
    <row r="10" customFormat="false" ht="15" hidden="false" customHeight="false" outlineLevel="0" collapsed="false">
      <c r="B10" s="8" t="s">
        <v>278</v>
      </c>
      <c r="C10" s="20" t="s">
        <v>277</v>
      </c>
      <c r="D10" s="20" t="n">
        <f aca="false">COUNTIF(Responses!$C$2:$C$500,"phd")</f>
        <v>9</v>
      </c>
      <c r="E10" s="21" t="n">
        <f aca="false">D10/'1-Patterns'!$C$4</f>
        <v>0.0725806451612903</v>
      </c>
    </row>
    <row r="11" customFormat="false" ht="15" hidden="false" customHeight="false" outlineLevel="0" collapsed="false">
      <c r="B11" s="8" t="s">
        <v>281</v>
      </c>
      <c r="C11" s="20" t="s">
        <v>280</v>
      </c>
      <c r="D11" s="20" t="n">
        <f aca="false">COUNTIF(Responses!$C$2:$C$500,"lecturer")</f>
        <v>20</v>
      </c>
      <c r="E11" s="21" t="n">
        <f aca="false">D11/'1-Patterns'!$C$4</f>
        <v>0.161290322580645</v>
      </c>
    </row>
    <row r="12" customFormat="false" ht="15" hidden="false" customHeight="false" outlineLevel="0" collapsed="false">
      <c r="B12" s="8" t="s">
        <v>284</v>
      </c>
      <c r="C12" s="20" t="s">
        <v>283</v>
      </c>
      <c r="D12" s="20" t="n">
        <f aca="false">COUNTIF(Responses!$C$2:$C$500,"ta")</f>
        <v>6</v>
      </c>
      <c r="E12" s="21" t="n">
        <f aca="false">D12/'1-Patterns'!$C$4</f>
        <v>0.0483870967741936</v>
      </c>
    </row>
    <row r="13" customFormat="false" ht="15" hidden="false" customHeight="false" outlineLevel="0" collapsed="false">
      <c r="B13" s="8" t="s">
        <v>287</v>
      </c>
      <c r="C13" s="20" t="s">
        <v>286</v>
      </c>
      <c r="D13" s="20" t="n">
        <f aca="false">COUNTIF(Responses!$C$2:$C$500,"staff")</f>
        <v>6</v>
      </c>
      <c r="E13" s="21" t="n">
        <f aca="false">D13/'1-Patterns'!$C$4</f>
        <v>0.0483870967741936</v>
      </c>
    </row>
    <row r="15" customFormat="false" ht="19.5" hidden="false" customHeight="true" outlineLevel="0" collapsed="false">
      <c r="A15" s="3" t="s">
        <v>1072</v>
      </c>
      <c r="B15" s="4"/>
      <c r="C15" s="4"/>
      <c r="D15" s="4"/>
      <c r="E15" s="4"/>
      <c r="F15" s="4"/>
      <c r="G15" s="4"/>
      <c r="H15" s="4"/>
    </row>
    <row r="16" customFormat="false" ht="15" hidden="false" customHeight="false" outlineLevel="0" collapsed="false">
      <c r="B16" s="19" t="s">
        <v>1068</v>
      </c>
      <c r="C16" s="19" t="s">
        <v>1069</v>
      </c>
      <c r="D16" s="19" t="s">
        <v>1070</v>
      </c>
      <c r="E16" s="19" t="s">
        <v>1071</v>
      </c>
    </row>
    <row r="17" customFormat="false" ht="15" hidden="false" customHeight="false" outlineLevel="0" collapsed="false">
      <c r="B17" s="8" t="s">
        <v>289</v>
      </c>
      <c r="C17" s="20" t="s">
        <v>289</v>
      </c>
      <c r="D17" s="20" t="n">
        <f aca="false">COUNTIF(Responses!$D$2:$D$500,"17-20")</f>
        <v>18</v>
      </c>
      <c r="E17" s="21" t="n">
        <f aca="false">D17/'1-Patterns'!$C$4</f>
        <v>0.145161290322581</v>
      </c>
    </row>
    <row r="18" customFormat="false" ht="15" hidden="false" customHeight="false" outlineLevel="0" collapsed="false">
      <c r="B18" s="8" t="s">
        <v>291</v>
      </c>
      <c r="C18" s="20" t="s">
        <v>291</v>
      </c>
      <c r="D18" s="20" t="n">
        <f aca="false">COUNTIF(Responses!$D$2:$D$500,"21-24")</f>
        <v>43</v>
      </c>
      <c r="E18" s="21" t="n">
        <f aca="false">D18/'1-Patterns'!$C$4</f>
        <v>0.346774193548387</v>
      </c>
    </row>
    <row r="19" customFormat="false" ht="15" hidden="false" customHeight="false" outlineLevel="0" collapsed="false">
      <c r="B19" s="8" t="s">
        <v>293</v>
      </c>
      <c r="C19" s="20" t="s">
        <v>293</v>
      </c>
      <c r="D19" s="20" t="n">
        <f aca="false">COUNTIF(Responses!$D$2:$D$500,"25-29")</f>
        <v>21</v>
      </c>
      <c r="E19" s="21" t="n">
        <f aca="false">D19/'1-Patterns'!$C$4</f>
        <v>0.169354838709677</v>
      </c>
    </row>
    <row r="20" customFormat="false" ht="15" hidden="false" customHeight="false" outlineLevel="0" collapsed="false">
      <c r="B20" s="8" t="s">
        <v>295</v>
      </c>
      <c r="C20" s="20" t="s">
        <v>295</v>
      </c>
      <c r="D20" s="20" t="n">
        <f aca="false">COUNTIF(Responses!$D$2:$D$500,"30-39")</f>
        <v>20</v>
      </c>
      <c r="E20" s="21" t="n">
        <f aca="false">D20/'1-Patterns'!$C$4</f>
        <v>0.161290322580645</v>
      </c>
    </row>
    <row r="21" customFormat="false" ht="15" hidden="false" customHeight="false" outlineLevel="0" collapsed="false">
      <c r="B21" s="8" t="s">
        <v>297</v>
      </c>
      <c r="C21" s="20" t="s">
        <v>297</v>
      </c>
      <c r="D21" s="20" t="n">
        <f aca="false">COUNTIF(Responses!$D$2:$D$500,"40-49")</f>
        <v>15</v>
      </c>
      <c r="E21" s="21" t="n">
        <f aca="false">D21/'1-Patterns'!$C$4</f>
        <v>0.120967741935484</v>
      </c>
    </row>
    <row r="22" customFormat="false" ht="15" hidden="false" customHeight="false" outlineLevel="0" collapsed="false">
      <c r="B22" s="8" t="s">
        <v>300</v>
      </c>
      <c r="C22" s="20" t="s">
        <v>299</v>
      </c>
      <c r="D22" s="20" t="n">
        <f aca="false">COUNTIF(Responses!$D$2:$D$500,"50+")</f>
        <v>6</v>
      </c>
      <c r="E22" s="21" t="n">
        <f aca="false">D22/'1-Patterns'!$C$4</f>
        <v>0.0483870967741936</v>
      </c>
    </row>
    <row r="23" customFormat="false" ht="15" hidden="false" customHeight="false" outlineLevel="0" collapsed="false">
      <c r="B23" s="8" t="s">
        <v>303</v>
      </c>
      <c r="C23" s="20" t="s">
        <v>302</v>
      </c>
      <c r="D23" s="20" t="n">
        <f aca="false">COUNTIF(Responses!$D$2:$D$500,"na")</f>
        <v>1</v>
      </c>
      <c r="E23" s="21" t="n">
        <f aca="false">D23/'1-Patterns'!$C$4</f>
        <v>0.00806451612903226</v>
      </c>
    </row>
    <row r="25" customFormat="false" ht="19.5" hidden="false" customHeight="true" outlineLevel="0" collapsed="false">
      <c r="A25" s="3" t="s">
        <v>1073</v>
      </c>
      <c r="B25" s="4"/>
      <c r="C25" s="4"/>
      <c r="D25" s="4"/>
      <c r="E25" s="4"/>
      <c r="F25" s="4"/>
      <c r="G25" s="4"/>
      <c r="H25" s="4"/>
    </row>
    <row r="26" customFormat="false" ht="15" hidden="false" customHeight="false" outlineLevel="0" collapsed="false">
      <c r="B26" s="19" t="s">
        <v>1068</v>
      </c>
      <c r="C26" s="19" t="s">
        <v>1069</v>
      </c>
      <c r="D26" s="19" t="s">
        <v>1070</v>
      </c>
      <c r="E26" s="19" t="s">
        <v>1071</v>
      </c>
    </row>
    <row r="27" customFormat="false" ht="15" hidden="false" customHeight="false" outlineLevel="0" collapsed="false">
      <c r="B27" s="8" t="s">
        <v>306</v>
      </c>
      <c r="C27" s="20" t="s">
        <v>305</v>
      </c>
      <c r="D27" s="20" t="n">
        <f aca="false">COUNTIF(Responses!$E$2:$E$500,"female")</f>
        <v>60</v>
      </c>
      <c r="E27" s="21" t="n">
        <f aca="false">D27/'1-Patterns'!$C$4</f>
        <v>0.483870967741936</v>
      </c>
    </row>
    <row r="28" customFormat="false" ht="15" hidden="false" customHeight="false" outlineLevel="0" collapsed="false">
      <c r="B28" s="8" t="s">
        <v>309</v>
      </c>
      <c r="C28" s="20" t="s">
        <v>308</v>
      </c>
      <c r="D28" s="20" t="n">
        <f aca="false">COUNTIF(Responses!$E$2:$E$500,"male")</f>
        <v>55</v>
      </c>
      <c r="E28" s="21" t="n">
        <f aca="false">D28/'1-Patterns'!$C$4</f>
        <v>0.443548387096774</v>
      </c>
    </row>
    <row r="29" customFormat="false" ht="15" hidden="false" customHeight="false" outlineLevel="0" collapsed="false">
      <c r="B29" s="8" t="s">
        <v>312</v>
      </c>
      <c r="C29" s="20" t="s">
        <v>311</v>
      </c>
      <c r="D29" s="20" t="n">
        <f aca="false">COUNTIF(Responses!$E$2:$E$500,"nonbinary")</f>
        <v>5</v>
      </c>
      <c r="E29" s="21" t="n">
        <f aca="false">D29/'1-Patterns'!$C$4</f>
        <v>0.0403225806451613</v>
      </c>
    </row>
    <row r="30" customFormat="false" ht="15" hidden="false" customHeight="false" outlineLevel="0" collapsed="false">
      <c r="B30" s="8" t="s">
        <v>303</v>
      </c>
      <c r="C30" s="20" t="s">
        <v>302</v>
      </c>
      <c r="D30" s="20" t="n">
        <f aca="false">COUNTIF(Responses!$E$2:$E$500,"na")</f>
        <v>4</v>
      </c>
      <c r="E30" s="21" t="n">
        <f aca="false">D30/'1-Patterns'!$C$4</f>
        <v>0.032258064516129</v>
      </c>
    </row>
    <row r="32" customFormat="false" ht="19.5" hidden="false" customHeight="true" outlineLevel="0" collapsed="false">
      <c r="A32" s="3" t="s">
        <v>1074</v>
      </c>
      <c r="B32" s="4"/>
      <c r="C32" s="4"/>
      <c r="D32" s="4"/>
      <c r="E32" s="4"/>
      <c r="F32" s="4"/>
      <c r="G32" s="4"/>
      <c r="H32" s="4"/>
    </row>
    <row r="33" customFormat="false" ht="15" hidden="false" customHeight="false" outlineLevel="0" collapsed="false">
      <c r="B33" s="19" t="s">
        <v>1068</v>
      </c>
      <c r="C33" s="19" t="s">
        <v>1069</v>
      </c>
      <c r="D33" s="19" t="s">
        <v>1070</v>
      </c>
      <c r="E33" s="19" t="s">
        <v>1071</v>
      </c>
    </row>
    <row r="34" customFormat="false" ht="15" hidden="false" customHeight="false" outlineLevel="0" collapsed="false">
      <c r="B34" s="8" t="s">
        <v>316</v>
      </c>
      <c r="C34" s="20" t="s">
        <v>315</v>
      </c>
      <c r="D34" s="20" t="n">
        <f aca="false">COUNTIF(Responses!$F$2:$F$500,"tshd")</f>
        <v>55</v>
      </c>
      <c r="E34" s="21" t="n">
        <f aca="false">D34/'1-Patterns'!$C$4</f>
        <v>0.443548387096774</v>
      </c>
    </row>
    <row r="35" customFormat="false" ht="15" hidden="false" customHeight="false" outlineLevel="0" collapsed="false">
      <c r="B35" s="8" t="s">
        <v>319</v>
      </c>
      <c r="C35" s="20" t="s">
        <v>318</v>
      </c>
      <c r="D35" s="20" t="n">
        <f aca="false">COUNTIF(Responses!$F$2:$F$500,"tisem")</f>
        <v>27</v>
      </c>
      <c r="E35" s="21" t="n">
        <f aca="false">D35/'1-Patterns'!$C$4</f>
        <v>0.217741935483871</v>
      </c>
    </row>
    <row r="36" customFormat="false" ht="15" hidden="false" customHeight="false" outlineLevel="0" collapsed="false">
      <c r="B36" s="8" t="s">
        <v>322</v>
      </c>
      <c r="C36" s="20" t="s">
        <v>321</v>
      </c>
      <c r="D36" s="20" t="n">
        <f aca="false">COUNTIF(Responses!$F$2:$F$500,"tsb")</f>
        <v>19</v>
      </c>
      <c r="E36" s="21" t="n">
        <f aca="false">D36/'1-Patterns'!$C$4</f>
        <v>0.153225806451613</v>
      </c>
    </row>
    <row r="37" customFormat="false" ht="15" hidden="false" customHeight="false" outlineLevel="0" collapsed="false">
      <c r="B37" s="8" t="s">
        <v>325</v>
      </c>
      <c r="C37" s="20" t="s">
        <v>324</v>
      </c>
      <c r="D37" s="20" t="n">
        <f aca="false">COUNTIF(Responses!$F$2:$F$500,"tls")</f>
        <v>13</v>
      </c>
      <c r="E37" s="21" t="n">
        <f aca="false">D37/'1-Patterns'!$C$4</f>
        <v>0.104838709677419</v>
      </c>
    </row>
    <row r="38" customFormat="false" ht="15" hidden="false" customHeight="false" outlineLevel="0" collapsed="false">
      <c r="B38" s="8" t="s">
        <v>328</v>
      </c>
      <c r="C38" s="20" t="s">
        <v>327</v>
      </c>
      <c r="D38" s="20" t="n">
        <f aca="false">COUNTIF(Responses!$F$2:$F$500,"tst")</f>
        <v>3</v>
      </c>
      <c r="E38" s="21" t="n">
        <f aca="false">D38/'1-Patterns'!$C$4</f>
        <v>0.0241935483870968</v>
      </c>
    </row>
    <row r="39" customFormat="false" ht="15" hidden="false" customHeight="false" outlineLevel="0" collapsed="false">
      <c r="B39" s="8" t="s">
        <v>331</v>
      </c>
      <c r="C39" s="20" t="s">
        <v>330</v>
      </c>
      <c r="D39" s="20" t="n">
        <f aca="false">COUNTIF(Responses!$F$2:$F$500,"other")</f>
        <v>7</v>
      </c>
      <c r="E39" s="21" t="n">
        <f aca="false">D39/'1-Patterns'!$C$4</f>
        <v>0.0564516129032258</v>
      </c>
    </row>
    <row r="41" customFormat="false" ht="19.5" hidden="false" customHeight="true" outlineLevel="0" collapsed="false">
      <c r="A41" s="3" t="s">
        <v>1075</v>
      </c>
      <c r="B41" s="4"/>
      <c r="C41" s="4"/>
      <c r="D41" s="4"/>
      <c r="E41" s="4"/>
      <c r="F41" s="4"/>
      <c r="G41" s="4"/>
      <c r="H41" s="4"/>
    </row>
    <row r="42" customFormat="false" ht="15" hidden="false" customHeight="false" outlineLevel="0" collapsed="false">
      <c r="B42" s="19" t="s">
        <v>1068</v>
      </c>
      <c r="C42" s="19" t="s">
        <v>1069</v>
      </c>
      <c r="D42" s="19" t="s">
        <v>1070</v>
      </c>
      <c r="E42" s="19" t="s">
        <v>1071</v>
      </c>
    </row>
    <row r="43" customFormat="false" ht="15" hidden="false" customHeight="false" outlineLevel="0" collapsed="false">
      <c r="B43" s="8" t="s">
        <v>334</v>
      </c>
      <c r="C43" s="20" t="s">
        <v>333</v>
      </c>
      <c r="D43" s="20" t="n">
        <f aca="false">COUNTIF(Responses!$G$2:$G$500,"nl")</f>
        <v>70</v>
      </c>
      <c r="E43" s="21" t="n">
        <f aca="false">D43/'1-Patterns'!$C$4</f>
        <v>0.564516129032258</v>
      </c>
    </row>
    <row r="44" customFormat="false" ht="15" hidden="false" customHeight="false" outlineLevel="0" collapsed="false">
      <c r="B44" s="8" t="s">
        <v>337</v>
      </c>
      <c r="C44" s="20" t="s">
        <v>336</v>
      </c>
      <c r="D44" s="20" t="n">
        <f aca="false">COUNTIF(Responses!$G$2:$G$500,"eu")</f>
        <v>34</v>
      </c>
      <c r="E44" s="21" t="n">
        <f aca="false">D44/'1-Patterns'!$C$4</f>
        <v>0.274193548387097</v>
      </c>
    </row>
    <row r="45" customFormat="false" ht="15" hidden="false" customHeight="false" outlineLevel="0" collapsed="false">
      <c r="B45" s="8" t="s">
        <v>340</v>
      </c>
      <c r="C45" s="20" t="s">
        <v>339</v>
      </c>
      <c r="D45" s="20" t="n">
        <f aca="false">COUNTIF(Responses!$G$2:$G$500,"noneu")</f>
        <v>17</v>
      </c>
      <c r="E45" s="21" t="n">
        <f aca="false">D45/'1-Patterns'!$C$4</f>
        <v>0.137096774193548</v>
      </c>
    </row>
    <row r="46" customFormat="false" ht="15" hidden="false" customHeight="false" outlineLevel="0" collapsed="false">
      <c r="B46" s="8" t="s">
        <v>303</v>
      </c>
      <c r="C46" s="20" t="s">
        <v>302</v>
      </c>
      <c r="D46" s="20" t="n">
        <f aca="false">COUNTIF(Responses!$G$2:$G$500,"na")</f>
        <v>3</v>
      </c>
      <c r="E46" s="21" t="n">
        <f aca="false">D46/'1-Patterns'!$C$4</f>
        <v>0.0241935483870968</v>
      </c>
    </row>
    <row r="48" customFormat="false" ht="19.5" hidden="false" customHeight="true" outlineLevel="0" collapsed="false">
      <c r="A48" s="3" t="s">
        <v>1076</v>
      </c>
      <c r="B48" s="4"/>
      <c r="C48" s="4"/>
      <c r="D48" s="4"/>
      <c r="E48" s="4"/>
      <c r="F48" s="4"/>
      <c r="G48" s="4"/>
      <c r="H48" s="4"/>
    </row>
    <row r="49" customFormat="false" ht="15" hidden="false" customHeight="false" outlineLevel="0" collapsed="false">
      <c r="B49" s="19" t="s">
        <v>1068</v>
      </c>
      <c r="C49" s="19" t="s">
        <v>1069</v>
      </c>
      <c r="D49" s="19" t="s">
        <v>1070</v>
      </c>
      <c r="E49" s="19" t="s">
        <v>1071</v>
      </c>
    </row>
    <row r="50" customFormat="false" ht="15" hidden="false" customHeight="false" outlineLevel="0" collapsed="false">
      <c r="B50" s="8" t="s">
        <v>357</v>
      </c>
      <c r="C50" s="20" t="s">
        <v>356</v>
      </c>
      <c r="D50" s="20" t="n">
        <f aca="false">COUNTIF(Responses!$I$2:$I$500,"0")</f>
        <v>34</v>
      </c>
      <c r="E50" s="21" t="n">
        <f aca="false">D50/'1-Patterns'!$C$4</f>
        <v>0.274193548387097</v>
      </c>
    </row>
    <row r="51" customFormat="false" ht="15" hidden="false" customHeight="false" outlineLevel="0" collapsed="false">
      <c r="B51" s="8" t="s">
        <v>360</v>
      </c>
      <c r="C51" s="20" t="s">
        <v>359</v>
      </c>
      <c r="D51" s="20" t="n">
        <f aca="false">COUNTIF(Responses!$I$2:$I$500,"1-8")</f>
        <v>34</v>
      </c>
      <c r="E51" s="21" t="n">
        <f aca="false">D51/'1-Patterns'!$C$4</f>
        <v>0.274193548387097</v>
      </c>
    </row>
    <row r="52" customFormat="false" ht="15" hidden="false" customHeight="false" outlineLevel="0" collapsed="false">
      <c r="B52" s="8" t="s">
        <v>363</v>
      </c>
      <c r="C52" s="20" t="s">
        <v>362</v>
      </c>
      <c r="D52" s="20" t="n">
        <f aca="false">COUNTIF(Responses!$I$2:$I$500,"9-16")</f>
        <v>31</v>
      </c>
      <c r="E52" s="21" t="n">
        <f aca="false">D52/'1-Patterns'!$C$4</f>
        <v>0.25</v>
      </c>
    </row>
    <row r="53" customFormat="false" ht="15" hidden="false" customHeight="false" outlineLevel="0" collapsed="false">
      <c r="B53" s="8" t="s">
        <v>366</v>
      </c>
      <c r="C53" s="20" t="s">
        <v>365</v>
      </c>
      <c r="D53" s="20" t="n">
        <f aca="false">COUNTIF(Responses!$I$2:$I$500,"17-24")</f>
        <v>15</v>
      </c>
      <c r="E53" s="21" t="n">
        <f aca="false">D53/'1-Patterns'!$C$4</f>
        <v>0.120967741935484</v>
      </c>
    </row>
    <row r="54" customFormat="false" ht="15" hidden="false" customHeight="false" outlineLevel="0" collapsed="false">
      <c r="B54" s="8" t="s">
        <v>369</v>
      </c>
      <c r="C54" s="20" t="s">
        <v>368</v>
      </c>
      <c r="D54" s="20" t="n">
        <f aca="false">COUNTIF(Responses!$I$2:$I$500,"25+")</f>
        <v>10</v>
      </c>
      <c r="E54" s="21" t="n">
        <f aca="false">D54/'1-Patterns'!$C$4</f>
        <v>0.0806451612903226</v>
      </c>
    </row>
    <row r="56" customFormat="false" ht="19.5" hidden="false" customHeight="true" outlineLevel="0" collapsed="false">
      <c r="A56" s="3" t="s">
        <v>1077</v>
      </c>
      <c r="B56" s="4"/>
      <c r="C56" s="4"/>
      <c r="D56" s="4"/>
      <c r="E56" s="4"/>
      <c r="F56" s="4"/>
      <c r="G56" s="4"/>
      <c r="H56" s="4"/>
    </row>
    <row r="57" customFormat="false" ht="15" hidden="false" customHeight="false" outlineLevel="0" collapsed="false">
      <c r="B57" s="19" t="s">
        <v>1078</v>
      </c>
      <c r="C57" s="19" t="s">
        <v>1069</v>
      </c>
      <c r="D57" s="19" t="s">
        <v>1070</v>
      </c>
      <c r="E57" s="19" t="s">
        <v>1071</v>
      </c>
    </row>
    <row r="58" customFormat="false" ht="15" hidden="false" customHeight="false" outlineLevel="0" collapsed="false">
      <c r="B58" s="8" t="s">
        <v>372</v>
      </c>
      <c r="C58" s="20" t="s">
        <v>371</v>
      </c>
      <c r="D58" s="20" t="n">
        <f aca="false">SUM(Responses!$J$2:$J$500)</f>
        <v>100</v>
      </c>
      <c r="E58" s="21" t="n">
        <f aca="false">D58/'1-Patterns'!$C$4</f>
        <v>0.806451612903226</v>
      </c>
    </row>
    <row r="59" customFormat="false" ht="23.85" hidden="false" customHeight="false" outlineLevel="0" collapsed="false">
      <c r="B59" s="8" t="s">
        <v>375</v>
      </c>
      <c r="C59" s="20" t="s">
        <v>374</v>
      </c>
      <c r="D59" s="20" t="n">
        <f aca="false">SUM(Responses!$K$2:$K$500)</f>
        <v>4</v>
      </c>
      <c r="E59" s="21" t="n">
        <f aca="false">D59/'1-Patterns'!$C$4</f>
        <v>0.032258064516129</v>
      </c>
    </row>
    <row r="60" customFormat="false" ht="15" hidden="false" customHeight="false" outlineLevel="0" collapsed="false">
      <c r="B60" s="8" t="s">
        <v>378</v>
      </c>
      <c r="C60" s="20" t="s">
        <v>377</v>
      </c>
      <c r="D60" s="20" t="n">
        <f aca="false">SUM(Responses!$L$2:$L$500)</f>
        <v>7</v>
      </c>
      <c r="E60" s="21" t="n">
        <f aca="false">D60/'1-Patterns'!$C$4</f>
        <v>0.0564516129032258</v>
      </c>
    </row>
    <row r="61" customFormat="false" ht="15" hidden="false" customHeight="false" outlineLevel="0" collapsed="false">
      <c r="B61" s="8" t="s">
        <v>381</v>
      </c>
      <c r="C61" s="20" t="s">
        <v>380</v>
      </c>
      <c r="D61" s="20" t="n">
        <f aca="false">SUM(Responses!$M$2:$M$500)</f>
        <v>9</v>
      </c>
      <c r="E61" s="21" t="n">
        <f aca="false">D61/'1-Patterns'!$C$4</f>
        <v>0.0725806451612903</v>
      </c>
    </row>
    <row r="62" customFormat="false" ht="15" hidden="false" customHeight="false" outlineLevel="0" collapsed="false">
      <c r="B62" s="8" t="s">
        <v>384</v>
      </c>
      <c r="C62" s="20" t="s">
        <v>383</v>
      </c>
      <c r="D62" s="20" t="n">
        <f aca="false">SUM(Responses!$N$2:$N$500)</f>
        <v>0</v>
      </c>
      <c r="E62" s="21" t="n">
        <f aca="false">D62/'1-Patterns'!$C$4</f>
        <v>0</v>
      </c>
    </row>
    <row r="63" customFormat="false" ht="15" hidden="false" customHeight="false" outlineLevel="0" collapsed="false">
      <c r="B63" s="8" t="s">
        <v>387</v>
      </c>
      <c r="C63" s="20" t="s">
        <v>386</v>
      </c>
      <c r="D63" s="20" t="n">
        <f aca="false">SUM(Responses!$O$2:$O$500)</f>
        <v>4</v>
      </c>
      <c r="E63" s="21" t="n">
        <f aca="false">D63/'1-Patterns'!$C$4</f>
        <v>0.032258064516129</v>
      </c>
    </row>
    <row r="64" customFormat="false" ht="15" hidden="false" customHeight="false" outlineLevel="0" collapsed="false">
      <c r="B64" s="8" t="s">
        <v>303</v>
      </c>
      <c r="C64" s="20" t="s">
        <v>302</v>
      </c>
      <c r="D64" s="20" t="n">
        <f aca="false">SUM(Responses!$P$2:$P$500)</f>
        <v>2</v>
      </c>
      <c r="E64" s="21" t="n">
        <f aca="false">D64/'1-Patterns'!$C$4</f>
        <v>0.0161290322580645</v>
      </c>
    </row>
    <row r="66" customFormat="false" ht="19.5" hidden="false" customHeight="true" outlineLevel="0" collapsed="false">
      <c r="A66" s="3" t="s">
        <v>1079</v>
      </c>
      <c r="B66" s="4"/>
      <c r="C66" s="4"/>
      <c r="D66" s="4"/>
      <c r="E66" s="4"/>
      <c r="F66" s="4"/>
      <c r="G66" s="4"/>
      <c r="H66" s="4"/>
    </row>
    <row r="67" customFormat="false" ht="15" hidden="false" customHeight="false" outlineLevel="0" collapsed="false">
      <c r="B67" s="19" t="s">
        <v>1080</v>
      </c>
      <c r="C67" s="19" t="s">
        <v>1081</v>
      </c>
    </row>
    <row r="68" customFormat="false" ht="15" hidden="false" customHeight="false" outlineLevel="0" collapsed="false">
      <c r="B68" s="8" t="s">
        <v>1082</v>
      </c>
      <c r="C68" s="22" t="n">
        <f aca="false">AVERAGE(Responses!$Q$2:$Q$500)</f>
        <v>5.05645161290323</v>
      </c>
    </row>
    <row r="69" customFormat="false" ht="15" hidden="false" customHeight="false" outlineLevel="0" collapsed="false">
      <c r="B69" s="8" t="s">
        <v>1083</v>
      </c>
      <c r="C69" s="22" t="n">
        <f aca="false">STDEV(Responses!$Q$2:$Q$500)</f>
        <v>1.27069803078644</v>
      </c>
    </row>
    <row r="70" customFormat="false" ht="15" hidden="false" customHeight="false" outlineLevel="0" collapsed="false">
      <c r="B70" s="8" t="s">
        <v>1084</v>
      </c>
      <c r="C70" s="22" t="n">
        <f aca="false">MEDIAN(Responses!$Q$2:$Q$500)</f>
        <v>5</v>
      </c>
    </row>
    <row r="71" customFormat="false" ht="15" hidden="false" customHeight="false" outlineLevel="0" collapsed="false">
      <c r="B71" s="8" t="s">
        <v>1085</v>
      </c>
      <c r="C71" s="21" t="n">
        <f aca="false">COUNTIF(Responses!$Q$2:$Q$500,"&gt;=5")/'1-Patterns'!$C$4</f>
        <v>0.693548387096774</v>
      </c>
    </row>
    <row r="72" customFormat="false" ht="15" hidden="false" customHeight="false" outlineLevel="0" collapsed="false">
      <c r="B72" s="8" t="s">
        <v>1086</v>
      </c>
      <c r="C72" s="21" t="n">
        <f aca="false">COUNTIF(Responses!$Q$2:$Q$500,"&lt;=3")/'1-Patterns'!$C$4</f>
        <v>0.112903225806452</v>
      </c>
    </row>
    <row r="74" customFormat="false" ht="19.5" hidden="false" customHeight="true" outlineLevel="0" collapsed="false">
      <c r="A74" s="3" t="s">
        <v>1087</v>
      </c>
      <c r="B74" s="4"/>
      <c r="C74" s="4"/>
      <c r="D74" s="4"/>
      <c r="E74" s="4"/>
      <c r="F74" s="4"/>
      <c r="G74" s="4"/>
      <c r="H74" s="4"/>
    </row>
    <row r="75" customFormat="false" ht="15" hidden="false" customHeight="false" outlineLevel="0" collapsed="false">
      <c r="B75" s="19" t="s">
        <v>1068</v>
      </c>
      <c r="C75" s="19" t="s">
        <v>1069</v>
      </c>
      <c r="D75" s="19" t="s">
        <v>1070</v>
      </c>
      <c r="E75" s="19" t="s">
        <v>1071</v>
      </c>
    </row>
    <row r="76" customFormat="false" ht="15" hidden="false" customHeight="false" outlineLevel="0" collapsed="false">
      <c r="B76" s="8" t="s">
        <v>391</v>
      </c>
      <c r="C76" s="20" t="s">
        <v>390</v>
      </c>
      <c r="D76" s="20" t="n">
        <f aca="false">COUNTIF(Responses!$R$2:$R$500,"lt1")</f>
        <v>4</v>
      </c>
      <c r="E76" s="21" t="n">
        <f aca="false">D76/'1-Patterns'!$C$4</f>
        <v>0.032258064516129</v>
      </c>
    </row>
    <row r="77" customFormat="false" ht="15" hidden="false" customHeight="false" outlineLevel="0" collapsed="false">
      <c r="B77" s="8" t="s">
        <v>393</v>
      </c>
      <c r="C77" s="20" t="s">
        <v>343</v>
      </c>
      <c r="D77" s="20" t="n">
        <f aca="false">COUNTIF(Responses!$R$2:$R$500,"1")</f>
        <v>10</v>
      </c>
      <c r="E77" s="21" t="n">
        <f aca="false">D77/'1-Patterns'!$C$4</f>
        <v>0.0806451612903226</v>
      </c>
    </row>
    <row r="78" customFormat="false" ht="15" hidden="false" customHeight="false" outlineLevel="0" collapsed="false">
      <c r="B78" s="8" t="s">
        <v>396</v>
      </c>
      <c r="C78" s="20" t="s">
        <v>395</v>
      </c>
      <c r="D78" s="20" t="n">
        <f aca="false">COUNTIF(Responses!$R$2:$R$500,"2-3")</f>
        <v>15</v>
      </c>
      <c r="E78" s="21" t="n">
        <f aca="false">D78/'1-Patterns'!$C$4</f>
        <v>0.120967741935484</v>
      </c>
    </row>
    <row r="79" customFormat="false" ht="15" hidden="false" customHeight="false" outlineLevel="0" collapsed="false">
      <c r="B79" s="8" t="s">
        <v>399</v>
      </c>
      <c r="C79" s="20" t="s">
        <v>398</v>
      </c>
      <c r="D79" s="20" t="n">
        <f aca="false">COUNTIF(Responses!$R$2:$R$500,"4-6")</f>
        <v>24</v>
      </c>
      <c r="E79" s="21" t="n">
        <f aca="false">D79/'1-Patterns'!$C$4</f>
        <v>0.193548387096774</v>
      </c>
    </row>
    <row r="80" customFormat="false" ht="15" hidden="false" customHeight="false" outlineLevel="0" collapsed="false">
      <c r="B80" s="8" t="s">
        <v>402</v>
      </c>
      <c r="C80" s="20" t="s">
        <v>401</v>
      </c>
      <c r="D80" s="20" t="n">
        <f aca="false">COUNTIF(Responses!$R$2:$R$500,"daily")</f>
        <v>32</v>
      </c>
      <c r="E80" s="21" t="n">
        <f aca="false">D80/'1-Patterns'!$C$4</f>
        <v>0.258064516129032</v>
      </c>
    </row>
    <row r="81" customFormat="false" ht="15" hidden="false" customHeight="false" outlineLevel="0" collapsed="false">
      <c r="B81" s="8" t="s">
        <v>405</v>
      </c>
      <c r="C81" s="20" t="s">
        <v>404</v>
      </c>
      <c r="D81" s="20" t="n">
        <f aca="false">COUNTIF(Responses!$R$2:$R$500,"several")</f>
        <v>39</v>
      </c>
      <c r="E81" s="21" t="n">
        <f aca="false">D81/'1-Patterns'!$C$4</f>
        <v>0.314516129032258</v>
      </c>
    </row>
    <row r="82" customFormat="false" ht="15" hidden="false" customHeight="false" outlineLevel="0" collapsed="false">
      <c r="B82" s="7" t="s">
        <v>1088</v>
      </c>
      <c r="C82" s="22" t="n">
        <f aca="false">AVERAGE(Responses!$BW$2:$BW$500)</f>
        <v>4.50806451612903</v>
      </c>
    </row>
    <row r="83" customFormat="false" ht="15" hidden="false" customHeight="false" outlineLevel="0" collapsed="false">
      <c r="B83" s="7" t="s">
        <v>1089</v>
      </c>
      <c r="C83" s="21" t="n">
        <f aca="false">(COUNTIF(Responses!$R$2:$R$500,"daily")+COUNTIF(Responses!$R$2:$R$500,"several"))/'1-Patterns'!$C$4</f>
        <v>0.57258064516129</v>
      </c>
    </row>
    <row r="85" customFormat="false" ht="19.5" hidden="false" customHeight="true" outlineLevel="0" collapsed="false">
      <c r="A85" s="3" t="s">
        <v>1090</v>
      </c>
      <c r="B85" s="4"/>
      <c r="C85" s="4"/>
      <c r="D85" s="4"/>
      <c r="E85" s="4"/>
      <c r="F85" s="4"/>
      <c r="G85" s="4"/>
      <c r="H85" s="4"/>
    </row>
    <row r="86" customFormat="false" ht="15" hidden="false" customHeight="false" outlineLevel="0" collapsed="false">
      <c r="B86" s="19" t="s">
        <v>1078</v>
      </c>
      <c r="C86" s="19" t="s">
        <v>1069</v>
      </c>
      <c r="D86" s="19" t="s">
        <v>1070</v>
      </c>
      <c r="E86" s="19" t="s">
        <v>1071</v>
      </c>
    </row>
    <row r="87" customFormat="false" ht="15" hidden="false" customHeight="false" outlineLevel="0" collapsed="false">
      <c r="B87" s="8" t="s">
        <v>408</v>
      </c>
      <c r="C87" s="20" t="s">
        <v>407</v>
      </c>
      <c r="D87" s="20" t="n">
        <f aca="false">SUM(Responses!$S$2:$S$500)</f>
        <v>103</v>
      </c>
      <c r="E87" s="21" t="n">
        <f aca="false">D87/'1-Patterns'!$C$4</f>
        <v>0.830645161290323</v>
      </c>
    </row>
    <row r="88" customFormat="false" ht="15" hidden="false" customHeight="false" outlineLevel="0" collapsed="false">
      <c r="B88" s="8" t="s">
        <v>411</v>
      </c>
      <c r="C88" s="20" t="s">
        <v>410</v>
      </c>
      <c r="D88" s="20" t="n">
        <f aca="false">SUM(Responses!$T$2:$T$500)</f>
        <v>27</v>
      </c>
      <c r="E88" s="21" t="n">
        <f aca="false">D88/'1-Patterns'!$C$4</f>
        <v>0.217741935483871</v>
      </c>
    </row>
    <row r="89" customFormat="false" ht="23.85" hidden="false" customHeight="false" outlineLevel="0" collapsed="false">
      <c r="B89" s="8" t="s">
        <v>414</v>
      </c>
      <c r="C89" s="20" t="s">
        <v>413</v>
      </c>
      <c r="D89" s="20" t="n">
        <f aca="false">SUM(Responses!$U$2:$U$500)</f>
        <v>35</v>
      </c>
      <c r="E89" s="21" t="n">
        <f aca="false">D89/'1-Patterns'!$C$4</f>
        <v>0.282258064516129</v>
      </c>
    </row>
    <row r="90" customFormat="false" ht="15" hidden="false" customHeight="false" outlineLevel="0" collapsed="false">
      <c r="B90" s="8" t="s">
        <v>417</v>
      </c>
      <c r="C90" s="20" t="s">
        <v>416</v>
      </c>
      <c r="D90" s="20" t="n">
        <f aca="false">SUM(Responses!$V$2:$V$500)</f>
        <v>56</v>
      </c>
      <c r="E90" s="21" t="n">
        <f aca="false">D90/'1-Patterns'!$C$4</f>
        <v>0.451612903225806</v>
      </c>
    </row>
    <row r="91" customFormat="false" ht="15" hidden="false" customHeight="false" outlineLevel="0" collapsed="false">
      <c r="B91" s="8" t="s">
        <v>420</v>
      </c>
      <c r="C91" s="20" t="s">
        <v>419</v>
      </c>
      <c r="D91" s="20" t="n">
        <f aca="false">SUM(Responses!$W$2:$W$500)</f>
        <v>12</v>
      </c>
      <c r="E91" s="21" t="n">
        <f aca="false">D91/'1-Patterns'!$C$4</f>
        <v>0.0967741935483871</v>
      </c>
    </row>
    <row r="93" customFormat="false" ht="19.5" hidden="false" customHeight="true" outlineLevel="0" collapsed="false">
      <c r="A93" s="3" t="s">
        <v>1091</v>
      </c>
      <c r="B93" s="4"/>
      <c r="C93" s="4"/>
      <c r="D93" s="4"/>
      <c r="E93" s="4"/>
      <c r="F93" s="4"/>
      <c r="G93" s="4"/>
      <c r="H93" s="4"/>
    </row>
    <row r="94" customFormat="false" ht="15" hidden="false" customHeight="false" outlineLevel="0" collapsed="false">
      <c r="B94" s="19" t="s">
        <v>1068</v>
      </c>
      <c r="C94" s="19" t="s">
        <v>1069</v>
      </c>
      <c r="D94" s="19" t="s">
        <v>1070</v>
      </c>
      <c r="E94" s="19" t="s">
        <v>1071</v>
      </c>
    </row>
    <row r="95" customFormat="false" ht="15" hidden="false" customHeight="false" outlineLevel="0" collapsed="false">
      <c r="B95" s="8" t="s">
        <v>408</v>
      </c>
      <c r="C95" s="20" t="s">
        <v>407</v>
      </c>
      <c r="D95" s="20" t="n">
        <f aca="false">COUNTIF(Responses!$X$2:$X$500,"laptop")</f>
        <v>68</v>
      </c>
      <c r="E95" s="21" t="n">
        <f aca="false">D95/'1-Patterns'!$C$4</f>
        <v>0.548387096774194</v>
      </c>
    </row>
    <row r="96" customFormat="false" ht="15" hidden="false" customHeight="false" outlineLevel="0" collapsed="false">
      <c r="B96" s="8" t="s">
        <v>411</v>
      </c>
      <c r="C96" s="20" t="s">
        <v>410</v>
      </c>
      <c r="D96" s="20" t="n">
        <f aca="false">COUNTIF(Responses!$X$2:$X$500,"desktop")</f>
        <v>21</v>
      </c>
      <c r="E96" s="21" t="n">
        <f aca="false">D96/'1-Patterns'!$C$4</f>
        <v>0.169354838709677</v>
      </c>
    </row>
    <row r="97" customFormat="false" ht="15" hidden="false" customHeight="false" outlineLevel="0" collapsed="false">
      <c r="B97" s="8" t="s">
        <v>425</v>
      </c>
      <c r="C97" s="20" t="s">
        <v>424</v>
      </c>
      <c r="D97" s="20" t="n">
        <f aca="false">COUNTIF(Responses!$X$2:$X$500,"phone")</f>
        <v>32</v>
      </c>
      <c r="E97" s="21" t="n">
        <f aca="false">D97/'1-Patterns'!$C$4</f>
        <v>0.258064516129032</v>
      </c>
    </row>
    <row r="98" customFormat="false" ht="15" hidden="false" customHeight="false" outlineLevel="0" collapsed="false">
      <c r="B98" s="8" t="s">
        <v>420</v>
      </c>
      <c r="C98" s="20" t="s">
        <v>419</v>
      </c>
      <c r="D98" s="20" t="n">
        <f aca="false">COUNTIF(Responses!$X$2:$X$500,"tablet")</f>
        <v>3</v>
      </c>
      <c r="E98" s="21" t="n">
        <f aca="false">D98/'1-Patterns'!$C$4</f>
        <v>0.0241935483870968</v>
      </c>
    </row>
    <row r="100" customFormat="false" ht="19.5" hidden="false" customHeight="true" outlineLevel="0" collapsed="false">
      <c r="A100" s="3" t="s">
        <v>1092</v>
      </c>
      <c r="B100" s="4"/>
      <c r="C100" s="4"/>
      <c r="D100" s="4"/>
      <c r="E100" s="4"/>
      <c r="F100" s="4"/>
      <c r="G100" s="4"/>
      <c r="H100" s="4"/>
    </row>
    <row r="101" customFormat="false" ht="15" hidden="false" customHeight="false" outlineLevel="0" collapsed="false">
      <c r="B101" s="19" t="s">
        <v>1068</v>
      </c>
      <c r="C101" s="19" t="s">
        <v>1069</v>
      </c>
      <c r="D101" s="19" t="s">
        <v>1070</v>
      </c>
      <c r="E101" s="19" t="s">
        <v>1071</v>
      </c>
    </row>
    <row r="102" customFormat="false" ht="15" hidden="false" customHeight="false" outlineLevel="0" collapsed="false">
      <c r="B102" s="8" t="s">
        <v>429</v>
      </c>
      <c r="C102" s="20" t="s">
        <v>428</v>
      </c>
      <c r="D102" s="20" t="n">
        <f aca="false">COUNTIF(Responses!$Y$2:$Y$500,"lt2")</f>
        <v>18</v>
      </c>
      <c r="E102" s="21" t="n">
        <f aca="false">D102/'1-Patterns'!$C$4</f>
        <v>0.145161290322581</v>
      </c>
    </row>
    <row r="103" customFormat="false" ht="15" hidden="false" customHeight="false" outlineLevel="0" collapsed="false">
      <c r="B103" s="8" t="s">
        <v>432</v>
      </c>
      <c r="C103" s="20" t="s">
        <v>431</v>
      </c>
      <c r="D103" s="20" t="n">
        <f aca="false">COUNTIF(Responses!$Y$2:$Y$500,"2-5")</f>
        <v>19</v>
      </c>
      <c r="E103" s="21" t="n">
        <f aca="false">D103/'1-Patterns'!$C$4</f>
        <v>0.153225806451613</v>
      </c>
    </row>
    <row r="104" customFormat="false" ht="15" hidden="false" customHeight="false" outlineLevel="0" collapsed="false">
      <c r="B104" s="8" t="s">
        <v>435</v>
      </c>
      <c r="C104" s="20" t="s">
        <v>434</v>
      </c>
      <c r="D104" s="20" t="n">
        <f aca="false">COUNTIF(Responses!$Y$2:$Y$500,"5-15")</f>
        <v>37</v>
      </c>
      <c r="E104" s="21" t="n">
        <f aca="false">D104/'1-Patterns'!$C$4</f>
        <v>0.298387096774194</v>
      </c>
    </row>
    <row r="105" customFormat="false" ht="15" hidden="false" customHeight="false" outlineLevel="0" collapsed="false">
      <c r="B105" s="8" t="s">
        <v>438</v>
      </c>
      <c r="C105" s="20" t="s">
        <v>437</v>
      </c>
      <c r="D105" s="20" t="n">
        <f aca="false">COUNTIF(Responses!$Y$2:$Y$500,"15-30")</f>
        <v>22</v>
      </c>
      <c r="E105" s="21" t="n">
        <f aca="false">D105/'1-Patterns'!$C$4</f>
        <v>0.17741935483871</v>
      </c>
    </row>
    <row r="106" customFormat="false" ht="15" hidden="false" customHeight="false" outlineLevel="0" collapsed="false">
      <c r="B106" s="8" t="s">
        <v>441</v>
      </c>
      <c r="C106" s="20" t="s">
        <v>440</v>
      </c>
      <c r="D106" s="20" t="n">
        <f aca="false">COUNTIF(Responses!$Y$2:$Y$500,"gt30")</f>
        <v>28</v>
      </c>
      <c r="E106" s="21" t="n">
        <f aca="false">D106/'1-Patterns'!$C$4</f>
        <v>0.225806451612903</v>
      </c>
    </row>
    <row r="107" customFormat="false" ht="15" hidden="false" customHeight="false" outlineLevel="0" collapsed="false">
      <c r="B107" s="7" t="s">
        <v>1093</v>
      </c>
      <c r="C107" s="21" t="n">
        <f aca="false">(COUNTIF(Responses!$Y$2:$Y$500,"lt2")+COUNTIF(Responses!$Y$2:$Y$500,"2-5"))/'1-Patterns'!$C$4</f>
        <v>0.298387096774194</v>
      </c>
    </row>
    <row r="109" customFormat="false" ht="19.5" hidden="false" customHeight="true" outlineLevel="0" collapsed="false">
      <c r="A109" s="3" t="s">
        <v>1094</v>
      </c>
      <c r="B109" s="4"/>
      <c r="C109" s="4"/>
      <c r="D109" s="4"/>
      <c r="E109" s="4"/>
      <c r="F109" s="4"/>
      <c r="G109" s="4"/>
      <c r="H109" s="4"/>
    </row>
    <row r="110" customFormat="false" ht="15" hidden="false" customHeight="false" outlineLevel="0" collapsed="false">
      <c r="B110" s="19" t="s">
        <v>1078</v>
      </c>
      <c r="C110" s="19" t="s">
        <v>1069</v>
      </c>
      <c r="D110" s="19" t="s">
        <v>1070</v>
      </c>
      <c r="E110" s="19" t="s">
        <v>1071</v>
      </c>
    </row>
    <row r="111" customFormat="false" ht="23.85" hidden="false" customHeight="false" outlineLevel="0" collapsed="false">
      <c r="B111" s="8" t="s">
        <v>444</v>
      </c>
      <c r="C111" s="20" t="s">
        <v>443</v>
      </c>
      <c r="D111" s="20" t="n">
        <f aca="false">SUM(Responses!$Z$2:$Z$500)</f>
        <v>103</v>
      </c>
      <c r="E111" s="21" t="n">
        <f aca="false">D111/'1-Patterns'!$C$4</f>
        <v>0.830645161290323</v>
      </c>
    </row>
    <row r="112" customFormat="false" ht="15" hidden="false" customHeight="false" outlineLevel="0" collapsed="false">
      <c r="B112" s="8" t="s">
        <v>447</v>
      </c>
      <c r="C112" s="20" t="s">
        <v>446</v>
      </c>
      <c r="D112" s="20" t="n">
        <f aca="false">SUM(Responses!$AA$2:$AA$500)</f>
        <v>94</v>
      </c>
      <c r="E112" s="21" t="n">
        <f aca="false">D112/'1-Patterns'!$C$4</f>
        <v>0.758064516129032</v>
      </c>
    </row>
    <row r="113" customFormat="false" ht="15" hidden="false" customHeight="false" outlineLevel="0" collapsed="false">
      <c r="B113" s="8" t="s">
        <v>450</v>
      </c>
      <c r="C113" s="20" t="s">
        <v>449</v>
      </c>
      <c r="D113" s="20" t="n">
        <f aca="false">SUM(Responses!$AB$2:$AB$500)</f>
        <v>78</v>
      </c>
      <c r="E113" s="21" t="n">
        <f aca="false">D113/'1-Patterns'!$C$4</f>
        <v>0.629032258064516</v>
      </c>
    </row>
    <row r="114" customFormat="false" ht="15" hidden="false" customHeight="false" outlineLevel="0" collapsed="false">
      <c r="B114" s="8" t="s">
        <v>453</v>
      </c>
      <c r="C114" s="20" t="s">
        <v>452</v>
      </c>
      <c r="D114" s="20" t="n">
        <f aca="false">SUM(Responses!$AC$2:$AC$500)</f>
        <v>93</v>
      </c>
      <c r="E114" s="21" t="n">
        <f aca="false">D114/'1-Patterns'!$C$4</f>
        <v>0.75</v>
      </c>
    </row>
    <row r="115" customFormat="false" ht="15" hidden="false" customHeight="false" outlineLevel="0" collapsed="false">
      <c r="B115" s="8" t="s">
        <v>456</v>
      </c>
      <c r="C115" s="20" t="s">
        <v>455</v>
      </c>
      <c r="D115" s="20" t="n">
        <f aca="false">SUM(Responses!$AD$2:$AD$500)</f>
        <v>57</v>
      </c>
      <c r="E115" s="21" t="n">
        <f aca="false">D115/'1-Patterns'!$C$4</f>
        <v>0.459677419354839</v>
      </c>
    </row>
    <row r="116" customFormat="false" ht="15" hidden="false" customHeight="false" outlineLevel="0" collapsed="false">
      <c r="B116" s="8" t="s">
        <v>459</v>
      </c>
      <c r="C116" s="20" t="s">
        <v>458</v>
      </c>
      <c r="D116" s="20" t="n">
        <f aca="false">SUM(Responses!$AE$2:$AE$500)</f>
        <v>40</v>
      </c>
      <c r="E116" s="21" t="n">
        <f aca="false">D116/'1-Patterns'!$C$4</f>
        <v>0.32258064516129</v>
      </c>
    </row>
    <row r="117" customFormat="false" ht="15" hidden="false" customHeight="false" outlineLevel="0" collapsed="false">
      <c r="B117" s="8" t="s">
        <v>462</v>
      </c>
      <c r="C117" s="20" t="s">
        <v>461</v>
      </c>
      <c r="D117" s="20" t="n">
        <f aca="false">SUM(Responses!$AF$2:$AF$500)</f>
        <v>28</v>
      </c>
      <c r="E117" s="21" t="n">
        <f aca="false">D117/'1-Patterns'!$C$4</f>
        <v>0.225806451612903</v>
      </c>
    </row>
    <row r="118" customFormat="false" ht="15" hidden="false" customHeight="false" outlineLevel="0" collapsed="false">
      <c r="B118" s="8" t="s">
        <v>465</v>
      </c>
      <c r="C118" s="20" t="s">
        <v>464</v>
      </c>
      <c r="D118" s="20" t="n">
        <f aca="false">SUM(Responses!$AG$2:$AG$500)</f>
        <v>38</v>
      </c>
      <c r="E118" s="21" t="n">
        <f aca="false">D118/'1-Patterns'!$C$4</f>
        <v>0.306451612903226</v>
      </c>
    </row>
    <row r="119" customFormat="false" ht="15" hidden="false" customHeight="false" outlineLevel="0" collapsed="false">
      <c r="B119" s="8" t="s">
        <v>468</v>
      </c>
      <c r="C119" s="20" t="s">
        <v>467</v>
      </c>
      <c r="D119" s="20" t="n">
        <f aca="false">SUM(Responses!$AH$2:$AH$500)</f>
        <v>65</v>
      </c>
      <c r="E119" s="21" t="n">
        <f aca="false">D119/'1-Patterns'!$C$4</f>
        <v>0.524193548387097</v>
      </c>
    </row>
    <row r="120" customFormat="false" ht="15" hidden="false" customHeight="false" outlineLevel="0" collapsed="false">
      <c r="B120" s="8" t="s">
        <v>471</v>
      </c>
      <c r="C120" s="20" t="s">
        <v>470</v>
      </c>
      <c r="D120" s="20" t="n">
        <f aca="false">SUM(Responses!$AI$2:$AI$500)</f>
        <v>34</v>
      </c>
      <c r="E120" s="21" t="n">
        <f aca="false">D120/'1-Patterns'!$C$4</f>
        <v>0.274193548387097</v>
      </c>
    </row>
    <row r="121" customFormat="false" ht="15" hidden="false" customHeight="false" outlineLevel="0" collapsed="false">
      <c r="B121" s="8" t="s">
        <v>474</v>
      </c>
      <c r="C121" s="20" t="s">
        <v>473</v>
      </c>
      <c r="D121" s="20" t="n">
        <f aca="false">SUM(Responses!$AJ$2:$AJ$500)</f>
        <v>30</v>
      </c>
      <c r="E121" s="21" t="n">
        <f aca="false">D121/'1-Patterns'!$C$4</f>
        <v>0.241935483870968</v>
      </c>
    </row>
    <row r="122" customFormat="false" ht="15" hidden="false" customHeight="false" outlineLevel="0" collapsed="false">
      <c r="B122" s="8" t="s">
        <v>372</v>
      </c>
      <c r="C122" s="20" t="s">
        <v>371</v>
      </c>
      <c r="D122" s="20" t="n">
        <f aca="false">SUM(Responses!$AK$2:$AK$500)</f>
        <v>0</v>
      </c>
      <c r="E122" s="21" t="n">
        <f aca="false">D122/'1-Patterns'!$C$4</f>
        <v>0</v>
      </c>
    </row>
    <row r="124" customFormat="false" ht="19.5" hidden="false" customHeight="true" outlineLevel="0" collapsed="false">
      <c r="A124" s="3" t="s">
        <v>1095</v>
      </c>
      <c r="B124" s="4"/>
      <c r="C124" s="4"/>
      <c r="D124" s="4"/>
      <c r="E124" s="4"/>
      <c r="F124" s="4"/>
      <c r="G124" s="4"/>
      <c r="H124" s="4"/>
    </row>
    <row r="125" customFormat="false" ht="15" hidden="false" customHeight="false" outlineLevel="0" collapsed="false">
      <c r="B125" s="19" t="s">
        <v>1078</v>
      </c>
      <c r="C125" s="19" t="s">
        <v>1069</v>
      </c>
      <c r="D125" s="19" t="s">
        <v>1070</v>
      </c>
      <c r="E125" s="19" t="s">
        <v>1071</v>
      </c>
    </row>
    <row r="126" customFormat="false" ht="15" hidden="false" customHeight="false" outlineLevel="0" collapsed="false">
      <c r="B126" s="8" t="s">
        <v>478</v>
      </c>
      <c r="C126" s="20" t="s">
        <v>477</v>
      </c>
      <c r="D126" s="20" t="n">
        <f aca="false">SUM(Responses!$AL$2:$AL$500)</f>
        <v>45</v>
      </c>
      <c r="E126" s="21" t="n">
        <f aca="false">D126/'1-Patterns'!$C$4</f>
        <v>0.362903225806452</v>
      </c>
    </row>
    <row r="127" customFormat="false" ht="15" hidden="false" customHeight="false" outlineLevel="0" collapsed="false">
      <c r="B127" s="8" t="s">
        <v>481</v>
      </c>
      <c r="C127" s="20" t="s">
        <v>480</v>
      </c>
      <c r="D127" s="20" t="n">
        <f aca="false">SUM(Responses!$AM$2:$AM$500)</f>
        <v>46</v>
      </c>
      <c r="E127" s="21" t="n">
        <f aca="false">D127/'1-Patterns'!$C$4</f>
        <v>0.370967741935484</v>
      </c>
    </row>
    <row r="128" customFormat="false" ht="15" hidden="false" customHeight="false" outlineLevel="0" collapsed="false">
      <c r="B128" s="8" t="s">
        <v>484</v>
      </c>
      <c r="C128" s="20" t="s">
        <v>483</v>
      </c>
      <c r="D128" s="20" t="n">
        <f aca="false">SUM(Responses!$AN$2:$AN$500)</f>
        <v>23</v>
      </c>
      <c r="E128" s="21" t="n">
        <f aca="false">D128/'1-Patterns'!$C$4</f>
        <v>0.185483870967742</v>
      </c>
    </row>
    <row r="129" customFormat="false" ht="15" hidden="false" customHeight="false" outlineLevel="0" collapsed="false">
      <c r="B129" s="8" t="s">
        <v>487</v>
      </c>
      <c r="C129" s="20" t="s">
        <v>486</v>
      </c>
      <c r="D129" s="20" t="n">
        <f aca="false">SUM(Responses!$AO$2:$AO$500)</f>
        <v>25</v>
      </c>
      <c r="E129" s="21" t="n">
        <f aca="false">D129/'1-Patterns'!$C$4</f>
        <v>0.201612903225806</v>
      </c>
    </row>
    <row r="130" customFormat="false" ht="15" hidden="false" customHeight="false" outlineLevel="0" collapsed="false">
      <c r="B130" s="8" t="s">
        <v>490</v>
      </c>
      <c r="C130" s="20" t="s">
        <v>489</v>
      </c>
      <c r="D130" s="20" t="n">
        <f aca="false">SUM(Responses!$AP$2:$AP$500)</f>
        <v>49</v>
      </c>
      <c r="E130" s="21" t="n">
        <f aca="false">D130/'1-Patterns'!$C$4</f>
        <v>0.395161290322581</v>
      </c>
    </row>
    <row r="131" customFormat="false" ht="15" hidden="false" customHeight="false" outlineLevel="0" collapsed="false">
      <c r="B131" s="8" t="s">
        <v>492</v>
      </c>
      <c r="C131" s="20" t="s">
        <v>473</v>
      </c>
      <c r="D131" s="20" t="n">
        <f aca="false">SUM(Responses!$AQ$2:$AQ$500)</f>
        <v>39</v>
      </c>
      <c r="E131" s="21" t="n">
        <f aca="false">D131/'1-Patterns'!$C$4</f>
        <v>0.314516129032258</v>
      </c>
    </row>
    <row r="132" customFormat="false" ht="15" hidden="false" customHeight="false" outlineLevel="0" collapsed="false">
      <c r="B132" s="8" t="s">
        <v>495</v>
      </c>
      <c r="C132" s="20" t="s">
        <v>494</v>
      </c>
      <c r="D132" s="20" t="n">
        <f aca="false">SUM(Responses!$AR$2:$AR$500)</f>
        <v>59</v>
      </c>
      <c r="E132" s="21" t="n">
        <f aca="false">D132/'1-Patterns'!$C$4</f>
        <v>0.475806451612903</v>
      </c>
    </row>
    <row r="133" customFormat="false" ht="15" hidden="false" customHeight="false" outlineLevel="0" collapsed="false">
      <c r="B133" s="8" t="s">
        <v>498</v>
      </c>
      <c r="C133" s="20" t="s">
        <v>497</v>
      </c>
      <c r="D133" s="20" t="n">
        <f aca="false">SUM(Responses!$AS$2:$AS$500)</f>
        <v>17</v>
      </c>
      <c r="E133" s="21" t="n">
        <f aca="false">D133/'1-Patterns'!$C$4</f>
        <v>0.137096774193548</v>
      </c>
    </row>
    <row r="135" customFormat="false" ht="19.5" hidden="false" customHeight="true" outlineLevel="0" collapsed="false">
      <c r="A135" s="3" t="s">
        <v>1096</v>
      </c>
      <c r="B135" s="4"/>
      <c r="C135" s="4"/>
      <c r="D135" s="4"/>
      <c r="E135" s="4"/>
      <c r="F135" s="4"/>
      <c r="G135" s="4"/>
      <c r="H135" s="4"/>
    </row>
    <row r="136" customFormat="false" ht="15" hidden="false" customHeight="false" outlineLevel="0" collapsed="false">
      <c r="B136" s="19" t="s">
        <v>1068</v>
      </c>
      <c r="C136" s="19" t="s">
        <v>1069</v>
      </c>
      <c r="D136" s="19" t="s">
        <v>1070</v>
      </c>
      <c r="E136" s="19" t="s">
        <v>1071</v>
      </c>
    </row>
    <row r="137" customFormat="false" ht="15" hidden="false" customHeight="false" outlineLevel="0" collapsed="false">
      <c r="B137" s="8" t="s">
        <v>500</v>
      </c>
      <c r="C137" s="20" t="s">
        <v>480</v>
      </c>
      <c r="D137" s="20" t="n">
        <f aca="false">COUNTIF(Responses!$AT$2:$AT$500,"email")</f>
        <v>72</v>
      </c>
      <c r="E137" s="21" t="n">
        <f aca="false">D137/'1-Patterns'!$C$4</f>
        <v>0.580645161290323</v>
      </c>
    </row>
    <row r="138" customFormat="false" ht="15" hidden="false" customHeight="false" outlineLevel="0" collapsed="false">
      <c r="B138" s="8" t="s">
        <v>502</v>
      </c>
      <c r="C138" s="20" t="s">
        <v>483</v>
      </c>
      <c r="D138" s="20" t="n">
        <f aca="false">COUNTIF(Responses!$AT$2:$AT$500,"push")</f>
        <v>25</v>
      </c>
      <c r="E138" s="21" t="n">
        <f aca="false">D138/'1-Patterns'!$C$4</f>
        <v>0.201612903225806</v>
      </c>
    </row>
    <row r="139" customFormat="false" ht="15" hidden="false" customHeight="false" outlineLevel="0" collapsed="false">
      <c r="B139" s="8" t="s">
        <v>505</v>
      </c>
      <c r="C139" s="20" t="s">
        <v>504</v>
      </c>
      <c r="D139" s="20" t="n">
        <f aca="false">COUNTIF(Responses!$AT$2:$AT$500,"inapp")</f>
        <v>18</v>
      </c>
      <c r="E139" s="21" t="n">
        <f aca="false">D139/'1-Patterns'!$C$4</f>
        <v>0.145161290322581</v>
      </c>
    </row>
    <row r="140" customFormat="false" ht="15" hidden="false" customHeight="false" outlineLevel="0" collapsed="false">
      <c r="B140" s="8" t="s">
        <v>508</v>
      </c>
      <c r="C140" s="20" t="s">
        <v>507</v>
      </c>
      <c r="D140" s="20" t="n">
        <f aca="false">COUNTIF(Responses!$AT$2:$AT$500,"off")</f>
        <v>6</v>
      </c>
      <c r="E140" s="21" t="n">
        <f aca="false">D140/'1-Patterns'!$C$4</f>
        <v>0.0483870967741936</v>
      </c>
    </row>
    <row r="141" customFormat="false" ht="15" hidden="false" customHeight="false" outlineLevel="0" collapsed="false">
      <c r="B141" s="8" t="s">
        <v>511</v>
      </c>
      <c r="C141" s="20" t="s">
        <v>510</v>
      </c>
      <c r="D141" s="20" t="n">
        <f aca="false">COUNTIF(Responses!$AT$2:$AT$500,"dontknow")</f>
        <v>3</v>
      </c>
      <c r="E141" s="21" t="n">
        <f aca="false">D141/'1-Patterns'!$C$4</f>
        <v>0.0241935483870968</v>
      </c>
    </row>
    <row r="143" customFormat="false" ht="19.5" hidden="false" customHeight="true" outlineLevel="0" collapsed="false">
      <c r="A143" s="3" t="s">
        <v>1097</v>
      </c>
      <c r="B143" s="4"/>
      <c r="C143" s="4"/>
      <c r="D143" s="4"/>
      <c r="E143" s="4"/>
      <c r="F143" s="4"/>
      <c r="G143" s="4"/>
      <c r="H143" s="4"/>
    </row>
    <row r="144" customFormat="false" ht="15" hidden="false" customHeight="false" outlineLevel="0" collapsed="false">
      <c r="B144" s="19" t="s">
        <v>1068</v>
      </c>
      <c r="C144" s="19" t="s">
        <v>1069</v>
      </c>
      <c r="D144" s="19" t="s">
        <v>1070</v>
      </c>
      <c r="E144" s="19" t="s">
        <v>1071</v>
      </c>
    </row>
    <row r="145" customFormat="false" ht="15" hidden="false" customHeight="false" outlineLevel="0" collapsed="false">
      <c r="B145" s="8" t="s">
        <v>513</v>
      </c>
      <c r="C145" s="20" t="s">
        <v>356</v>
      </c>
      <c r="D145" s="20" t="n">
        <f aca="false">COUNTIF(Responses!$AU$2:$AU$500,"0")</f>
        <v>23</v>
      </c>
      <c r="E145" s="21" t="n">
        <f aca="false">D145/'1-Patterns'!$C$4</f>
        <v>0.185483870967742</v>
      </c>
    </row>
    <row r="146" customFormat="false" ht="15" hidden="false" customHeight="false" outlineLevel="0" collapsed="false">
      <c r="B146" s="8" t="s">
        <v>515</v>
      </c>
      <c r="C146" s="20" t="s">
        <v>343</v>
      </c>
      <c r="D146" s="20" t="n">
        <f aca="false">COUNTIF(Responses!$AU$2:$AU$500,"1")</f>
        <v>32</v>
      </c>
      <c r="E146" s="21" t="n">
        <f aca="false">D146/'1-Patterns'!$C$4</f>
        <v>0.258064516129032</v>
      </c>
    </row>
    <row r="147" customFormat="false" ht="15" hidden="false" customHeight="false" outlineLevel="0" collapsed="false">
      <c r="B147" s="8" t="s">
        <v>517</v>
      </c>
      <c r="C147" s="20" t="s">
        <v>395</v>
      </c>
      <c r="D147" s="20" t="n">
        <f aca="false">COUNTIF(Responses!$AU$2:$AU$500,"2-3")</f>
        <v>49</v>
      </c>
      <c r="E147" s="21" t="n">
        <f aca="false">D147/'1-Patterns'!$C$4</f>
        <v>0.395161290322581</v>
      </c>
    </row>
    <row r="148" customFormat="false" ht="15" hidden="false" customHeight="false" outlineLevel="0" collapsed="false">
      <c r="B148" s="8" t="s">
        <v>519</v>
      </c>
      <c r="C148" s="20" t="s">
        <v>398</v>
      </c>
      <c r="D148" s="20" t="n">
        <f aca="false">COUNTIF(Responses!$AU$2:$AU$500,"4-6")</f>
        <v>18</v>
      </c>
      <c r="E148" s="21" t="n">
        <f aca="false">D148/'1-Patterns'!$C$4</f>
        <v>0.145161290322581</v>
      </c>
    </row>
    <row r="149" customFormat="false" ht="15" hidden="false" customHeight="false" outlineLevel="0" collapsed="false">
      <c r="B149" s="8" t="s">
        <v>522</v>
      </c>
      <c r="C149" s="20" t="s">
        <v>521</v>
      </c>
      <c r="D149" s="20" t="n">
        <f aca="false">COUNTIF(Responses!$AU$2:$AU$500,"7+")</f>
        <v>2</v>
      </c>
      <c r="E149" s="21" t="n">
        <f aca="false">D149/'1-Patterns'!$C$4</f>
        <v>0.0161290322580645</v>
      </c>
    </row>
    <row r="150" customFormat="false" ht="15" hidden="false" customHeight="false" outlineLevel="0" collapsed="false">
      <c r="B150" s="7" t="s">
        <v>1098</v>
      </c>
      <c r="C150" s="21" t="n">
        <f aca="false">(COUNTIF(Responses!$AU$2:$AU$500,"2-3")+COUNTIF(Responses!$AU$2:$AU$500,"4-6")+COUNTIF(Responses!$AU$2:$AU$500,"7+"))/'1-Patterns'!$C$4</f>
        <v>0.556451612903226</v>
      </c>
    </row>
    <row r="152" customFormat="false" ht="19.5" hidden="false" customHeight="true" outlineLevel="0" collapsed="false">
      <c r="A152" s="3" t="s">
        <v>1099</v>
      </c>
      <c r="B152" s="4"/>
      <c r="C152" s="4"/>
      <c r="D152" s="4"/>
      <c r="E152" s="4"/>
      <c r="F152" s="4"/>
      <c r="G152" s="4"/>
      <c r="H152" s="4"/>
    </row>
    <row r="153" customFormat="false" ht="15" hidden="false" customHeight="false" outlineLevel="0" collapsed="false">
      <c r="B153" s="19" t="s">
        <v>1078</v>
      </c>
      <c r="C153" s="19" t="s">
        <v>1069</v>
      </c>
      <c r="D153" s="19" t="s">
        <v>1070</v>
      </c>
      <c r="E153" s="19" t="s">
        <v>1071</v>
      </c>
    </row>
    <row r="154" customFormat="false" ht="15" hidden="false" customHeight="false" outlineLevel="0" collapsed="false">
      <c r="B154" s="8" t="s">
        <v>525</v>
      </c>
      <c r="C154" s="20" t="s">
        <v>524</v>
      </c>
      <c r="D154" s="20" t="n">
        <f aca="false">SUM(Responses!$AV$2:$AV$500)</f>
        <v>31</v>
      </c>
      <c r="E154" s="21" t="n">
        <f aca="false">D154/'1-Patterns'!$C$4</f>
        <v>0.25</v>
      </c>
    </row>
    <row r="155" customFormat="false" ht="15" hidden="false" customHeight="false" outlineLevel="0" collapsed="false">
      <c r="B155" s="8" t="s">
        <v>527</v>
      </c>
      <c r="C155" s="20" t="s">
        <v>455</v>
      </c>
      <c r="D155" s="20" t="n">
        <f aca="false">SUM(Responses!$AW$2:$AW$500)</f>
        <v>91</v>
      </c>
      <c r="E155" s="21" t="n">
        <f aca="false">D155/'1-Patterns'!$C$4</f>
        <v>0.733870967741936</v>
      </c>
    </row>
    <row r="156" customFormat="false" ht="15" hidden="false" customHeight="false" outlineLevel="0" collapsed="false">
      <c r="B156" s="8" t="s">
        <v>530</v>
      </c>
      <c r="C156" s="20" t="s">
        <v>529</v>
      </c>
      <c r="D156" s="20" t="n">
        <f aca="false">SUM(Responses!$AX$2:$AX$500)</f>
        <v>45</v>
      </c>
      <c r="E156" s="21" t="n">
        <f aca="false">D156/'1-Patterns'!$C$4</f>
        <v>0.362903225806452</v>
      </c>
    </row>
    <row r="157" customFormat="false" ht="15" hidden="false" customHeight="false" outlineLevel="0" collapsed="false">
      <c r="B157" s="8" t="s">
        <v>533</v>
      </c>
      <c r="C157" s="20" t="s">
        <v>532</v>
      </c>
      <c r="D157" s="20" t="n">
        <f aca="false">SUM(Responses!$AY$2:$AY$500)</f>
        <v>75</v>
      </c>
      <c r="E157" s="21" t="n">
        <f aca="false">D157/'1-Patterns'!$C$4</f>
        <v>0.604838709677419</v>
      </c>
    </row>
    <row r="158" customFormat="false" ht="15" hidden="false" customHeight="false" outlineLevel="0" collapsed="false">
      <c r="B158" s="8" t="s">
        <v>535</v>
      </c>
      <c r="C158" s="20" t="s">
        <v>480</v>
      </c>
      <c r="D158" s="20" t="n">
        <f aca="false">SUM(Responses!$AZ$2:$AZ$500)</f>
        <v>62</v>
      </c>
      <c r="E158" s="21" t="n">
        <f aca="false">D158/'1-Patterns'!$C$4</f>
        <v>0.5</v>
      </c>
    </row>
    <row r="159" customFormat="false" ht="15" hidden="false" customHeight="false" outlineLevel="0" collapsed="false">
      <c r="B159" s="8" t="s">
        <v>537</v>
      </c>
      <c r="C159" s="20" t="s">
        <v>371</v>
      </c>
      <c r="D159" s="20" t="n">
        <f aca="false">SUM(Responses!$BA$2:$BA$500)</f>
        <v>0</v>
      </c>
      <c r="E159" s="21" t="n">
        <f aca="false">D159/'1-Patterns'!$C$4</f>
        <v>0</v>
      </c>
    </row>
    <row r="161" customFormat="false" ht="19.5" hidden="false" customHeight="true" outlineLevel="0" collapsed="false">
      <c r="A161" s="3" t="s">
        <v>1100</v>
      </c>
      <c r="B161" s="4"/>
      <c r="C161" s="4"/>
      <c r="D161" s="4"/>
      <c r="E161" s="4"/>
      <c r="F161" s="4"/>
      <c r="G161" s="4"/>
      <c r="H161" s="4"/>
      <c r="I161" s="4"/>
      <c r="J161" s="4"/>
      <c r="K161" s="4"/>
      <c r="L161" s="4"/>
      <c r="M161" s="4"/>
      <c r="N161" s="4"/>
      <c r="O161" s="4"/>
    </row>
    <row r="162" customFormat="false" ht="23.85" hidden="false" customHeight="false" outlineLevel="0" collapsed="false">
      <c r="B162" s="19" t="s">
        <v>1101</v>
      </c>
      <c r="C162" s="19" t="s">
        <v>1102</v>
      </c>
      <c r="D162" s="19" t="s">
        <v>1082</v>
      </c>
      <c r="E162" s="19" t="s">
        <v>1083</v>
      </c>
      <c r="F162" s="19" t="s">
        <v>1084</v>
      </c>
      <c r="G162" s="19" t="s">
        <v>1103</v>
      </c>
      <c r="H162" s="19" t="s">
        <v>1104</v>
      </c>
      <c r="I162" s="19" t="s">
        <v>1105</v>
      </c>
      <c r="J162" s="19" t="s">
        <v>1106</v>
      </c>
      <c r="K162" s="19" t="s">
        <v>1107</v>
      </c>
      <c r="L162" s="19" t="s">
        <v>1108</v>
      </c>
      <c r="M162" s="19" t="s">
        <v>1109</v>
      </c>
      <c r="N162" s="19" t="s">
        <v>1110</v>
      </c>
      <c r="O162" s="19" t="s">
        <v>1111</v>
      </c>
      <c r="P162" s="19" t="s">
        <v>1112</v>
      </c>
    </row>
    <row r="163" customFormat="false" ht="15" hidden="false" customHeight="false" outlineLevel="0" collapsed="false">
      <c r="B163" s="8" t="s">
        <v>187</v>
      </c>
      <c r="C163" s="20" t="s">
        <v>185</v>
      </c>
      <c r="D163" s="22" t="n">
        <f aca="false">AVERAGE(Responses!$BB$2:$BB$500)</f>
        <v>3.5241935483871</v>
      </c>
      <c r="E163" s="22" t="n">
        <f aca="false">STDEV(Responses!$BB$2:$BB$500)</f>
        <v>1.21282918372751</v>
      </c>
      <c r="F163" s="23" t="n">
        <f aca="false">MEDIAN(Responses!$BB$2:$BB$500)</f>
        <v>4</v>
      </c>
      <c r="G163" s="21" t="n">
        <f aca="false">COUNTIF(Responses!$BB$2:$BB$500,"&lt;=3")/'1-Patterns'!$C$4</f>
        <v>0.491935483870968</v>
      </c>
      <c r="H163" s="21" t="n">
        <f aca="false">COUNTIF(Responses!$BB$2:$BB$500,4)/'1-Patterns'!$C$4</f>
        <v>0.306451612903226</v>
      </c>
      <c r="I163" s="21" t="n">
        <f aca="false">COUNTIF(Responses!$BB$2:$BB$500,"&gt;=5")/'1-Patterns'!$C$4</f>
        <v>0.201612903225806</v>
      </c>
      <c r="J163" s="20" t="n">
        <f aca="false">COUNTIF(Responses!$BB$2:$BB$500,1)</f>
        <v>9</v>
      </c>
      <c r="K163" s="20" t="n">
        <f aca="false">COUNTIF(Responses!$BB$2:$BB$500,2)</f>
        <v>11</v>
      </c>
      <c r="L163" s="20" t="n">
        <f aca="false">COUNTIF(Responses!$BB$2:$BB$500,3)</f>
        <v>41</v>
      </c>
      <c r="M163" s="20" t="n">
        <f aca="false">COUNTIF(Responses!$BB$2:$BB$500,4)</f>
        <v>38</v>
      </c>
      <c r="N163" s="20" t="n">
        <f aca="false">COUNTIF(Responses!$BB$2:$BB$500,5)</f>
        <v>19</v>
      </c>
      <c r="O163" s="20" t="n">
        <f aca="false">COUNTIF(Responses!$BB$2:$BB$500,6)</f>
        <v>6</v>
      </c>
      <c r="P163" s="20" t="n">
        <f aca="false">COUNTIF(Responses!$BB$2:$BB$500,7)</f>
        <v>0</v>
      </c>
    </row>
    <row r="164" customFormat="false" ht="15" hidden="false" customHeight="false" outlineLevel="0" collapsed="false">
      <c r="B164" s="8" t="s">
        <v>193</v>
      </c>
      <c r="C164" s="20" t="s">
        <v>192</v>
      </c>
      <c r="D164" s="22" t="n">
        <f aca="false">AVERAGE(Responses!$BC$2:$BC$500)</f>
        <v>4.38709677419355</v>
      </c>
      <c r="E164" s="22" t="n">
        <f aca="false">STDEV(Responses!$BC$2:$BC$500)</f>
        <v>1.606438657805</v>
      </c>
      <c r="F164" s="23" t="n">
        <f aca="false">MEDIAN(Responses!$BC$2:$BC$500)</f>
        <v>4</v>
      </c>
      <c r="G164" s="21" t="n">
        <f aca="false">COUNTIF(Responses!$BC$2:$BC$500,"&lt;=3")/'1-Patterns'!$C$4</f>
        <v>0.306451612903226</v>
      </c>
      <c r="H164" s="21" t="n">
        <f aca="false">COUNTIF(Responses!$BC$2:$BC$500,4)/'1-Patterns'!$C$4</f>
        <v>0.217741935483871</v>
      </c>
      <c r="I164" s="21" t="n">
        <f aca="false">COUNTIF(Responses!$BC$2:$BC$500,"&gt;=5")/'1-Patterns'!$C$4</f>
        <v>0.475806451612903</v>
      </c>
      <c r="J164" s="20" t="n">
        <f aca="false">COUNTIF(Responses!$BC$2:$BC$500,1)</f>
        <v>4</v>
      </c>
      <c r="K164" s="20" t="n">
        <f aca="false">COUNTIF(Responses!$BC$2:$BC$500,2)</f>
        <v>12</v>
      </c>
      <c r="L164" s="20" t="n">
        <f aca="false">COUNTIF(Responses!$BC$2:$BC$500,3)</f>
        <v>22</v>
      </c>
      <c r="M164" s="20" t="n">
        <f aca="false">COUNTIF(Responses!$BC$2:$BC$500,4)</f>
        <v>27</v>
      </c>
      <c r="N164" s="20" t="n">
        <f aca="false">COUNTIF(Responses!$BC$2:$BC$500,5)</f>
        <v>27</v>
      </c>
      <c r="O164" s="20" t="n">
        <f aca="false">COUNTIF(Responses!$BC$2:$BC$500,6)</f>
        <v>17</v>
      </c>
      <c r="P164" s="20" t="n">
        <f aca="false">COUNTIF(Responses!$BC$2:$BC$500,7)</f>
        <v>15</v>
      </c>
    </row>
    <row r="165" customFormat="false" ht="15" hidden="false" customHeight="false" outlineLevel="0" collapsed="false">
      <c r="B165" s="8" t="s">
        <v>198</v>
      </c>
      <c r="C165" s="20" t="s">
        <v>197</v>
      </c>
      <c r="D165" s="22" t="n">
        <f aca="false">AVERAGE(Responses!$BD$2:$BD$500)</f>
        <v>3.99193548387097</v>
      </c>
      <c r="E165" s="22" t="n">
        <f aca="false">STDEV(Responses!$BD$2:$BD$500)</f>
        <v>1.16518582726705</v>
      </c>
      <c r="F165" s="23" t="n">
        <f aca="false">MEDIAN(Responses!$BD$2:$BD$500)</f>
        <v>4</v>
      </c>
      <c r="G165" s="21" t="n">
        <f aca="false">COUNTIF(Responses!$BD$2:$BD$500,"&lt;=3")/'1-Patterns'!$C$4</f>
        <v>0.346774193548387</v>
      </c>
      <c r="H165" s="21" t="n">
        <f aca="false">COUNTIF(Responses!$BD$2:$BD$500,4)/'1-Patterns'!$C$4</f>
        <v>0.32258064516129</v>
      </c>
      <c r="I165" s="21" t="n">
        <f aca="false">COUNTIF(Responses!$BD$2:$BD$500,"&gt;=5")/'1-Patterns'!$C$4</f>
        <v>0.330645161290323</v>
      </c>
      <c r="J165" s="20" t="n">
        <f aca="false">COUNTIF(Responses!$BD$2:$BD$500,1)</f>
        <v>1</v>
      </c>
      <c r="K165" s="20" t="n">
        <f aca="false">COUNTIF(Responses!$BD$2:$BD$500,2)</f>
        <v>11</v>
      </c>
      <c r="L165" s="20" t="n">
        <f aca="false">COUNTIF(Responses!$BD$2:$BD$500,3)</f>
        <v>31</v>
      </c>
      <c r="M165" s="20" t="n">
        <f aca="false">COUNTIF(Responses!$BD$2:$BD$500,4)</f>
        <v>40</v>
      </c>
      <c r="N165" s="20" t="n">
        <f aca="false">COUNTIF(Responses!$BD$2:$BD$500,5)</f>
        <v>27</v>
      </c>
      <c r="O165" s="20" t="n">
        <f aca="false">COUNTIF(Responses!$BD$2:$BD$500,6)</f>
        <v>14</v>
      </c>
      <c r="P165" s="20" t="n">
        <f aca="false">COUNTIF(Responses!$BD$2:$BD$500,7)</f>
        <v>0</v>
      </c>
    </row>
    <row r="166" customFormat="false" ht="15" hidden="false" customHeight="false" outlineLevel="0" collapsed="false">
      <c r="B166" s="8" t="s">
        <v>202</v>
      </c>
      <c r="C166" s="20" t="s">
        <v>201</v>
      </c>
      <c r="D166" s="22" t="n">
        <f aca="false">AVERAGE(Responses!$BE$2:$BE$500)</f>
        <v>5.07258064516129</v>
      </c>
      <c r="E166" s="22" t="n">
        <f aca="false">STDEV(Responses!$BE$2:$BE$500)</f>
        <v>1.09821279126902</v>
      </c>
      <c r="F166" s="23" t="n">
        <f aca="false">MEDIAN(Responses!$BE$2:$BE$500)</f>
        <v>5</v>
      </c>
      <c r="G166" s="21" t="n">
        <f aca="false">COUNTIF(Responses!$BE$2:$BE$500,"&lt;=3")/'1-Patterns'!$C$4</f>
        <v>0.0564516129032258</v>
      </c>
      <c r="H166" s="21" t="n">
        <f aca="false">COUNTIF(Responses!$BE$2:$BE$500,4)/'1-Patterns'!$C$4</f>
        <v>0.241935483870968</v>
      </c>
      <c r="I166" s="21" t="n">
        <f aca="false">COUNTIF(Responses!$BE$2:$BE$500,"&gt;=5")/'1-Patterns'!$C$4</f>
        <v>0.701612903225807</v>
      </c>
      <c r="J166" s="20" t="n">
        <f aca="false">COUNTIF(Responses!$BE$2:$BE$500,1)</f>
        <v>0</v>
      </c>
      <c r="K166" s="20" t="n">
        <f aca="false">COUNTIF(Responses!$BE$2:$BE$500,2)</f>
        <v>2</v>
      </c>
      <c r="L166" s="20" t="n">
        <f aca="false">COUNTIF(Responses!$BE$2:$BE$500,3)</f>
        <v>5</v>
      </c>
      <c r="M166" s="20" t="n">
        <f aca="false">COUNTIF(Responses!$BE$2:$BE$500,4)</f>
        <v>30</v>
      </c>
      <c r="N166" s="20" t="n">
        <f aca="false">COUNTIF(Responses!$BE$2:$BE$500,5)</f>
        <v>45</v>
      </c>
      <c r="O166" s="20" t="n">
        <f aca="false">COUNTIF(Responses!$BE$2:$BE$500,6)</f>
        <v>29</v>
      </c>
      <c r="P166" s="20" t="n">
        <f aca="false">COUNTIF(Responses!$BE$2:$BE$500,7)</f>
        <v>13</v>
      </c>
    </row>
    <row r="167" customFormat="false" ht="23.85" hidden="false" customHeight="false" outlineLevel="0" collapsed="false">
      <c r="B167" s="8" t="s">
        <v>206</v>
      </c>
      <c r="C167" s="20" t="s">
        <v>205</v>
      </c>
      <c r="D167" s="22" t="n">
        <f aca="false">AVERAGE(Responses!$BF$2:$BF$500)</f>
        <v>3.2741935483871</v>
      </c>
      <c r="E167" s="22" t="n">
        <f aca="false">STDEV(Responses!$BF$2:$BF$500)</f>
        <v>1.09201618318974</v>
      </c>
      <c r="F167" s="23" t="n">
        <f aca="false">MEDIAN(Responses!$BF$2:$BF$500)</f>
        <v>3</v>
      </c>
      <c r="G167" s="21" t="n">
        <f aca="false">COUNTIF(Responses!$BF$2:$BF$500,"&lt;=3")/'1-Patterns'!$C$4</f>
        <v>0.620967741935484</v>
      </c>
      <c r="H167" s="21" t="n">
        <f aca="false">COUNTIF(Responses!$BF$2:$BF$500,4)/'1-Patterns'!$C$4</f>
        <v>0.225806451612903</v>
      </c>
      <c r="I167" s="21" t="n">
        <f aca="false">COUNTIF(Responses!$BF$2:$BF$500,"&gt;=5")/'1-Patterns'!$C$4</f>
        <v>0.153225806451613</v>
      </c>
      <c r="J167" s="20" t="n">
        <f aca="false">COUNTIF(Responses!$BF$2:$BF$500,1)</f>
        <v>4</v>
      </c>
      <c r="K167" s="20" t="n">
        <f aca="false">COUNTIF(Responses!$BF$2:$BF$500,2)</f>
        <v>26</v>
      </c>
      <c r="L167" s="20" t="n">
        <f aca="false">COUNTIF(Responses!$BF$2:$BF$500,3)</f>
        <v>47</v>
      </c>
      <c r="M167" s="20" t="n">
        <f aca="false">COUNTIF(Responses!$BF$2:$BF$500,4)</f>
        <v>28</v>
      </c>
      <c r="N167" s="20" t="n">
        <f aca="false">COUNTIF(Responses!$BF$2:$BF$500,5)</f>
        <v>17</v>
      </c>
      <c r="O167" s="20" t="n">
        <f aca="false">COUNTIF(Responses!$BF$2:$BF$500,6)</f>
        <v>2</v>
      </c>
      <c r="P167" s="20" t="n">
        <f aca="false">COUNTIF(Responses!$BF$2:$BF$500,7)</f>
        <v>0</v>
      </c>
    </row>
    <row r="168" customFormat="false" ht="23.85" hidden="false" customHeight="false" outlineLevel="0" collapsed="false">
      <c r="B168" s="8" t="s">
        <v>210</v>
      </c>
      <c r="C168" s="20" t="s">
        <v>209</v>
      </c>
      <c r="D168" s="22" t="n">
        <f aca="false">AVERAGE(Responses!$BG$2:$BG$500)</f>
        <v>3.08870967741936</v>
      </c>
      <c r="E168" s="22" t="n">
        <f aca="false">STDEV(Responses!$BG$2:$BG$500)</f>
        <v>1.28159007419673</v>
      </c>
      <c r="F168" s="23" t="n">
        <f aca="false">MEDIAN(Responses!$BG$2:$BG$500)</f>
        <v>3</v>
      </c>
      <c r="G168" s="21" t="n">
        <f aca="false">COUNTIF(Responses!$BG$2:$BG$500,"&lt;=3")/'1-Patterns'!$C$4</f>
        <v>0.637096774193548</v>
      </c>
      <c r="H168" s="21" t="n">
        <f aca="false">COUNTIF(Responses!$BG$2:$BG$500,4)/'1-Patterns'!$C$4</f>
        <v>0.217741935483871</v>
      </c>
      <c r="I168" s="21" t="n">
        <f aca="false">COUNTIF(Responses!$BG$2:$BG$500,"&gt;=5")/'1-Patterns'!$C$4</f>
        <v>0.145161290322581</v>
      </c>
      <c r="J168" s="20" t="n">
        <f aca="false">COUNTIF(Responses!$BG$2:$BG$500,1)</f>
        <v>14</v>
      </c>
      <c r="K168" s="20" t="n">
        <f aca="false">COUNTIF(Responses!$BG$2:$BG$500,2)</f>
        <v>28</v>
      </c>
      <c r="L168" s="20" t="n">
        <f aca="false">COUNTIF(Responses!$BG$2:$BG$500,3)</f>
        <v>37</v>
      </c>
      <c r="M168" s="20" t="n">
        <f aca="false">COUNTIF(Responses!$BG$2:$BG$500,4)</f>
        <v>27</v>
      </c>
      <c r="N168" s="20" t="n">
        <f aca="false">COUNTIF(Responses!$BG$2:$BG$500,5)</f>
        <v>14</v>
      </c>
      <c r="O168" s="20" t="n">
        <f aca="false">COUNTIF(Responses!$BG$2:$BG$500,6)</f>
        <v>4</v>
      </c>
      <c r="P168" s="20" t="n">
        <f aca="false">COUNTIF(Responses!$BG$2:$BG$500,7)</f>
        <v>0</v>
      </c>
    </row>
    <row r="169" customFormat="false" ht="15" hidden="false" customHeight="false" outlineLevel="0" collapsed="false">
      <c r="B169" s="8" t="s">
        <v>214</v>
      </c>
      <c r="C169" s="20" t="s">
        <v>213</v>
      </c>
      <c r="D169" s="22" t="n">
        <f aca="false">AVERAGE(Responses!$BH$2:$BH$500)</f>
        <v>4.29032258064516</v>
      </c>
      <c r="E169" s="22" t="n">
        <f aca="false">STDEV(Responses!$BH$2:$BH$500)</f>
        <v>1.04977112138354</v>
      </c>
      <c r="F169" s="23" t="n">
        <f aca="false">MEDIAN(Responses!$BH$2:$BH$500)</f>
        <v>4</v>
      </c>
      <c r="G169" s="21" t="n">
        <f aca="false">COUNTIF(Responses!$BH$2:$BH$500,"&lt;=3")/'1-Patterns'!$C$4</f>
        <v>0.209677419354839</v>
      </c>
      <c r="H169" s="21" t="n">
        <f aca="false">COUNTIF(Responses!$BH$2:$BH$500,4)/'1-Patterns'!$C$4</f>
        <v>0.411290322580645</v>
      </c>
      <c r="I169" s="21" t="n">
        <f aca="false">COUNTIF(Responses!$BH$2:$BH$500,"&gt;=5")/'1-Patterns'!$C$4</f>
        <v>0.379032258064516</v>
      </c>
      <c r="J169" s="20" t="n">
        <f aca="false">COUNTIF(Responses!$BH$2:$BH$500,1)</f>
        <v>0</v>
      </c>
      <c r="K169" s="20" t="n">
        <f aca="false">COUNTIF(Responses!$BH$2:$BH$500,2)</f>
        <v>4</v>
      </c>
      <c r="L169" s="20" t="n">
        <f aca="false">COUNTIF(Responses!$BH$2:$BH$500,3)</f>
        <v>22</v>
      </c>
      <c r="M169" s="20" t="n">
        <f aca="false">COUNTIF(Responses!$BH$2:$BH$500,4)</f>
        <v>51</v>
      </c>
      <c r="N169" s="20" t="n">
        <f aca="false">COUNTIF(Responses!$BH$2:$BH$500,5)</f>
        <v>30</v>
      </c>
      <c r="O169" s="20" t="n">
        <f aca="false">COUNTIF(Responses!$BH$2:$BH$500,6)</f>
        <v>15</v>
      </c>
      <c r="P169" s="20" t="n">
        <f aca="false">COUNTIF(Responses!$BH$2:$BH$500,7)</f>
        <v>2</v>
      </c>
    </row>
    <row r="170" customFormat="false" ht="15" hidden="false" customHeight="false" outlineLevel="0" collapsed="false">
      <c r="B170" s="8" t="s">
        <v>1113</v>
      </c>
      <c r="C170" s="20" t="s">
        <v>217</v>
      </c>
      <c r="D170" s="22" t="n">
        <f aca="false">AVERAGE(Responses!$BI$2:$BI$500)</f>
        <v>4.91935483870968</v>
      </c>
      <c r="E170" s="22" t="n">
        <f aca="false">STDEV(Responses!$BI$2:$BI$500)</f>
        <v>1.60079641862382</v>
      </c>
      <c r="F170" s="23" t="n">
        <f aca="false">MEDIAN(Responses!$BI$2:$BI$500)</f>
        <v>5</v>
      </c>
      <c r="G170" s="21" t="n">
        <f aca="false">COUNTIF(Responses!$BI$2:$BI$500,"&lt;=3")/'1-Patterns'!$C$4</f>
        <v>0.185483870967742</v>
      </c>
      <c r="H170" s="21" t="n">
        <f aca="false">COUNTIF(Responses!$BI$2:$BI$500,4)/'1-Patterns'!$C$4</f>
        <v>0.169354838709677</v>
      </c>
      <c r="I170" s="21" t="n">
        <f aca="false">COUNTIF(Responses!$BI$2:$BI$500,"&gt;=5")/'1-Patterns'!$C$4</f>
        <v>0.645161290322581</v>
      </c>
      <c r="J170" s="20" t="n">
        <f aca="false">COUNTIF(Responses!$BI$2:$BI$500,1)</f>
        <v>5</v>
      </c>
      <c r="K170" s="20" t="n">
        <f aca="false">COUNTIF(Responses!$BI$2:$BI$500,2)</f>
        <v>6</v>
      </c>
      <c r="L170" s="20" t="n">
        <f aca="false">COUNTIF(Responses!$BI$2:$BI$500,3)</f>
        <v>12</v>
      </c>
      <c r="M170" s="20" t="n">
        <f aca="false">COUNTIF(Responses!$BI$2:$BI$500,4)</f>
        <v>21</v>
      </c>
      <c r="N170" s="20" t="n">
        <f aca="false">COUNTIF(Responses!$BI$2:$BI$500,5)</f>
        <v>27</v>
      </c>
      <c r="O170" s="20" t="n">
        <f aca="false">COUNTIF(Responses!$BI$2:$BI$500,6)</f>
        <v>33</v>
      </c>
      <c r="P170" s="20" t="n">
        <f aca="false">COUNTIF(Responses!$BI$2:$BI$500,7)</f>
        <v>20</v>
      </c>
    </row>
    <row r="171" customFormat="false" ht="23.85" hidden="false" customHeight="false" outlineLevel="0" collapsed="false">
      <c r="B171" s="8" t="s">
        <v>1114</v>
      </c>
      <c r="C171" s="20" t="s">
        <v>221</v>
      </c>
      <c r="D171" s="22" t="n">
        <f aca="false">AVERAGE(Responses!$BJ$2:$BJ$500)</f>
        <v>4.94354838709677</v>
      </c>
      <c r="E171" s="22" t="n">
        <f aca="false">STDEV(Responses!$BJ$2:$BJ$500)</f>
        <v>1.31472226103307</v>
      </c>
      <c r="F171" s="23" t="n">
        <f aca="false">MEDIAN(Responses!$BJ$2:$BJ$500)</f>
        <v>5</v>
      </c>
      <c r="G171" s="21" t="n">
        <f aca="false">COUNTIF(Responses!$BJ$2:$BJ$500,"&lt;=3")/'1-Patterns'!$C$4</f>
        <v>0.104838709677419</v>
      </c>
      <c r="H171" s="21" t="n">
        <f aca="false">COUNTIF(Responses!$BJ$2:$BJ$500,4)/'1-Patterns'!$C$4</f>
        <v>0.209677419354839</v>
      </c>
      <c r="I171" s="21" t="n">
        <f aca="false">COUNTIF(Responses!$BJ$2:$BJ$500,"&gt;=5")/'1-Patterns'!$C$4</f>
        <v>0.685483870967742</v>
      </c>
      <c r="J171" s="20" t="n">
        <f aca="false">COUNTIF(Responses!$BJ$2:$BJ$500,1)</f>
        <v>3</v>
      </c>
      <c r="K171" s="20" t="n">
        <f aca="false">COUNTIF(Responses!$BJ$2:$BJ$500,2)</f>
        <v>4</v>
      </c>
      <c r="L171" s="20" t="n">
        <f aca="false">COUNTIF(Responses!$BJ$2:$BJ$500,3)</f>
        <v>6</v>
      </c>
      <c r="M171" s="20" t="n">
        <f aca="false">COUNTIF(Responses!$BJ$2:$BJ$500,4)</f>
        <v>26</v>
      </c>
      <c r="N171" s="20" t="n">
        <f aca="false">COUNTIF(Responses!$BJ$2:$BJ$500,5)</f>
        <v>42</v>
      </c>
      <c r="O171" s="20" t="n">
        <f aca="false">COUNTIF(Responses!$BJ$2:$BJ$500,6)</f>
        <v>31</v>
      </c>
      <c r="P171" s="20" t="n">
        <f aca="false">COUNTIF(Responses!$BJ$2:$BJ$500,7)</f>
        <v>12</v>
      </c>
    </row>
    <row r="172" customFormat="false" ht="15" hidden="false" customHeight="false" outlineLevel="0" collapsed="false">
      <c r="B172" s="8" t="s">
        <v>1115</v>
      </c>
      <c r="C172" s="20" t="s">
        <v>225</v>
      </c>
      <c r="D172" s="22" t="n">
        <f aca="false">AVERAGE(Responses!$BK$2:$BK$500)</f>
        <v>3.62096774193548</v>
      </c>
      <c r="E172" s="22" t="n">
        <f aca="false">STDEV(Responses!$BK$2:$BK$500)</f>
        <v>1.1518295234033</v>
      </c>
      <c r="F172" s="23" t="n">
        <f aca="false">MEDIAN(Responses!$BK$2:$BK$500)</f>
        <v>4</v>
      </c>
      <c r="G172" s="21" t="n">
        <f aca="false">COUNTIF(Responses!$BK$2:$BK$500,"&lt;=3")/'1-Patterns'!$C$4</f>
        <v>0.491935483870968</v>
      </c>
      <c r="H172" s="21" t="n">
        <f aca="false">COUNTIF(Responses!$BK$2:$BK$500,4)/'1-Patterns'!$C$4</f>
        <v>0.274193548387097</v>
      </c>
      <c r="I172" s="21" t="n">
        <f aca="false">COUNTIF(Responses!$BK$2:$BK$500,"&gt;=5")/'1-Patterns'!$C$4</f>
        <v>0.233870967741935</v>
      </c>
      <c r="J172" s="20" t="n">
        <f aca="false">COUNTIF(Responses!$BK$2:$BK$500,1)</f>
        <v>2</v>
      </c>
      <c r="K172" s="20" t="n">
        <f aca="false">COUNTIF(Responses!$BK$2:$BK$500,2)</f>
        <v>18</v>
      </c>
      <c r="L172" s="20" t="n">
        <f aca="false">COUNTIF(Responses!$BK$2:$BK$500,3)</f>
        <v>41</v>
      </c>
      <c r="M172" s="20" t="n">
        <f aca="false">COUNTIF(Responses!$BK$2:$BK$500,4)</f>
        <v>34</v>
      </c>
      <c r="N172" s="20" t="n">
        <f aca="false">COUNTIF(Responses!$BK$2:$BK$500,5)</f>
        <v>22</v>
      </c>
      <c r="O172" s="20" t="n">
        <f aca="false">COUNTIF(Responses!$BK$2:$BK$500,6)</f>
        <v>7</v>
      </c>
      <c r="P172" s="20" t="n">
        <f aca="false">COUNTIF(Responses!$BK$2:$BK$500,7)</f>
        <v>0</v>
      </c>
    </row>
    <row r="174" customFormat="false" ht="15" hidden="false" customHeight="false" outlineLevel="0" collapsed="false">
      <c r="B174" s="19" t="s">
        <v>1116</v>
      </c>
      <c r="C174" s="19" t="s">
        <v>1102</v>
      </c>
      <c r="D174" s="19" t="s">
        <v>1082</v>
      </c>
      <c r="E174" s="19" t="s">
        <v>1083</v>
      </c>
      <c r="F174" s="19" t="s">
        <v>1084</v>
      </c>
      <c r="G174" s="19" t="s">
        <v>1117</v>
      </c>
      <c r="H174" s="19" t="s">
        <v>1118</v>
      </c>
      <c r="I174" s="19" t="s">
        <v>1119</v>
      </c>
    </row>
    <row r="175" customFormat="false" ht="23.85" hidden="false" customHeight="false" outlineLevel="0" collapsed="false">
      <c r="B175" s="8" t="s">
        <v>1120</v>
      </c>
      <c r="C175" s="20" t="s">
        <v>229</v>
      </c>
      <c r="D175" s="22" t="n">
        <f aca="false">AVERAGE(Responses!$BL$2:$BL$500)</f>
        <v>3.74193548387097</v>
      </c>
      <c r="E175" s="22" t="n">
        <f aca="false">STDEV(Responses!$BL$2:$BL$500)</f>
        <v>1.27433048094504</v>
      </c>
      <c r="F175" s="23" t="n">
        <f aca="false">MEDIAN(Responses!$BL$2:$BL$500)</f>
        <v>4</v>
      </c>
      <c r="G175" s="21" t="n">
        <f aca="false">COUNTIF(Responses!$BL$2:$BL$500,"&lt;=3")/'1-Patterns'!$C$4</f>
        <v>0.435483870967742</v>
      </c>
      <c r="H175" s="21" t="n">
        <f aca="false">COUNTIF(Responses!$BL$2:$BL$500,4)/'1-Patterns'!$C$4</f>
        <v>0.266129032258065</v>
      </c>
      <c r="I175" s="21" t="n">
        <f aca="false">COUNTIF(Responses!$BL$2:$BL$500,"&gt;=5")/'1-Patterns'!$C$4</f>
        <v>0.298387096774194</v>
      </c>
    </row>
    <row r="176" customFormat="false" ht="23.85" hidden="false" customHeight="false" outlineLevel="0" collapsed="false">
      <c r="B176" s="8" t="s">
        <v>1121</v>
      </c>
      <c r="C176" s="20" t="s">
        <v>234</v>
      </c>
      <c r="D176" s="22" t="n">
        <f aca="false">AVERAGE(Responses!$BM$2:$BM$500)</f>
        <v>3.29838709677419</v>
      </c>
      <c r="E176" s="22" t="n">
        <f aca="false">STDEV(Responses!$BM$2:$BM$500)</f>
        <v>1.09677901450631</v>
      </c>
      <c r="F176" s="23" t="n">
        <f aca="false">MEDIAN(Responses!$BM$2:$BM$500)</f>
        <v>3</v>
      </c>
      <c r="G176" s="21" t="n">
        <f aca="false">COUNTIF(Responses!$BM$2:$BM$500,"&lt;=2")/'1-Patterns'!$C$4</f>
        <v>0.241935483870968</v>
      </c>
      <c r="H176" s="21" t="n">
        <f aca="false">COUNTIF(Responses!$BM$2:$BM$500,3)/'1-Patterns'!$C$4</f>
        <v>0.274193548387097</v>
      </c>
      <c r="I176" s="21" t="n">
        <f aca="false">COUNTIF(Responses!$BM$2:$BM$500,"&gt;=4")/'1-Patterns'!$C$4</f>
        <v>0.483870967741936</v>
      </c>
    </row>
    <row r="178" customFormat="false" ht="19.5" hidden="false" customHeight="true" outlineLevel="0" collapsed="false">
      <c r="A178" s="3" t="s">
        <v>1122</v>
      </c>
      <c r="B178" s="4"/>
      <c r="C178" s="4"/>
      <c r="D178" s="4"/>
      <c r="E178" s="4"/>
      <c r="F178" s="4"/>
      <c r="G178" s="4"/>
      <c r="H178" s="4"/>
    </row>
    <row r="179" customFormat="false" ht="15" hidden="false" customHeight="false" outlineLevel="0" collapsed="false">
      <c r="B179" s="8" t="s">
        <v>1123</v>
      </c>
      <c r="C179" s="22" t="n">
        <f aca="false">CORREL(Responses!$BB$2:$BB$500,Responses!$CC$2:$CC$500)</f>
        <v>0.814375658389609</v>
      </c>
    </row>
    <row r="180" customFormat="false" ht="15" hidden="false" customHeight="false" outlineLevel="0" collapsed="false">
      <c r="B180" s="8" t="s">
        <v>1124</v>
      </c>
      <c r="C180" s="22" t="n">
        <f aca="false">2*C179/(1+C179)</f>
        <v>0.897692442713244</v>
      </c>
    </row>
    <row r="181" customFormat="false" ht="15" hidden="false" customHeight="false" outlineLevel="0" collapsed="false">
      <c r="B181" s="8" t="s">
        <v>1125</v>
      </c>
      <c r="C181" s="22" t="n">
        <f aca="false">(AVERAGE(Responses!$BB$2:$BB$500)+AVERAGE(Responses!$CC$2:$CC$500))/2</f>
        <v>3.56854838709677</v>
      </c>
    </row>
    <row r="182" customFormat="false" ht="27.75" hidden="false" customHeight="true" outlineLevel="0" collapsed="false">
      <c r="B182" s="24" t="s">
        <v>1126</v>
      </c>
      <c r="C182" s="24"/>
      <c r="D182" s="24"/>
      <c r="E182" s="24"/>
      <c r="F182" s="24"/>
      <c r="G182" s="24"/>
      <c r="H182" s="24"/>
    </row>
    <row r="184" customFormat="false" ht="19.5" hidden="false" customHeight="true" outlineLevel="0" collapsed="false">
      <c r="A184" s="3" t="s">
        <v>1127</v>
      </c>
      <c r="B184" s="4"/>
      <c r="C184" s="4"/>
      <c r="D184" s="4"/>
      <c r="E184" s="4"/>
      <c r="F184" s="4"/>
      <c r="G184" s="4"/>
      <c r="H184" s="4"/>
    </row>
    <row r="185" customFormat="false" ht="23.85" hidden="false" customHeight="false" outlineLevel="0" collapsed="false">
      <c r="B185" s="19" t="s">
        <v>1128</v>
      </c>
      <c r="C185" s="19" t="s">
        <v>1069</v>
      </c>
      <c r="D185" s="19" t="s">
        <v>1129</v>
      </c>
      <c r="E185" s="19" t="s">
        <v>1130</v>
      </c>
      <c r="F185" s="19" t="s">
        <v>1131</v>
      </c>
      <c r="G185" s="19" t="s">
        <v>1132</v>
      </c>
    </row>
    <row r="186" customFormat="false" ht="15" hidden="false" customHeight="false" outlineLevel="0" collapsed="false">
      <c r="B186" s="8" t="s">
        <v>540</v>
      </c>
      <c r="C186" s="20" t="s">
        <v>539</v>
      </c>
      <c r="D186" s="22" t="n">
        <f aca="false">AVERAGE(Responses!$BN$2:$BN$500)</f>
        <v>2.14516129032258</v>
      </c>
      <c r="E186" s="21" t="n">
        <f aca="false">COUNTIF(Responses!$BN$2:$BN$500,1)/'1-Patterns'!$C$4</f>
        <v>0.379032258064516</v>
      </c>
      <c r="F186" s="21" t="n">
        <f aca="false">COUNTIF(Responses!$BN$2:$BN$500,"&lt;=2")/'1-Patterns'!$C$4</f>
        <v>0.580645161290323</v>
      </c>
      <c r="G186" s="21" t="n">
        <f aca="false">COUNTIF(Responses!$BN$2:$BN$500,6)/'1-Patterns'!$C$4</f>
        <v>0</v>
      </c>
    </row>
    <row r="187" customFormat="false" ht="15" hidden="false" customHeight="false" outlineLevel="0" collapsed="false">
      <c r="B187" s="8" t="s">
        <v>543</v>
      </c>
      <c r="C187" s="20" t="s">
        <v>542</v>
      </c>
      <c r="D187" s="22" t="n">
        <f aca="false">AVERAGE(Responses!$BO$2:$BO$500)</f>
        <v>2.40322580645161</v>
      </c>
      <c r="E187" s="21" t="n">
        <f aca="false">COUNTIF(Responses!$BO$2:$BO$500,1)/'1-Patterns'!$C$4</f>
        <v>0.298387096774194</v>
      </c>
      <c r="F187" s="21" t="n">
        <f aca="false">COUNTIF(Responses!$BO$2:$BO$500,"&lt;=2")/'1-Patterns'!$C$4</f>
        <v>0.5</v>
      </c>
      <c r="G187" s="21" t="n">
        <f aca="false">COUNTIF(Responses!$BO$2:$BO$500,6)/'1-Patterns'!$C$4</f>
        <v>0</v>
      </c>
    </row>
    <row r="188" customFormat="false" ht="15" hidden="false" customHeight="false" outlineLevel="0" collapsed="false">
      <c r="B188" s="8" t="s">
        <v>545</v>
      </c>
      <c r="C188" s="20" t="s">
        <v>449</v>
      </c>
      <c r="D188" s="22" t="n">
        <f aca="false">AVERAGE(Responses!$BP$2:$BP$500)</f>
        <v>2.98387096774194</v>
      </c>
      <c r="E188" s="21" t="n">
        <f aca="false">COUNTIF(Responses!$BP$2:$BP$500,1)/'1-Patterns'!$C$4</f>
        <v>0.217741935483871</v>
      </c>
      <c r="F188" s="21" t="n">
        <f aca="false">COUNTIF(Responses!$BP$2:$BP$500,"&lt;=2")/'1-Patterns'!$C$4</f>
        <v>0.387096774193548</v>
      </c>
      <c r="G188" s="21" t="n">
        <f aca="false">COUNTIF(Responses!$BP$2:$BP$500,6)/'1-Patterns'!$C$4</f>
        <v>0.00806451612903226</v>
      </c>
    </row>
    <row r="189" customFormat="false" ht="23.85" hidden="false" customHeight="false" outlineLevel="0" collapsed="false">
      <c r="B189" s="8" t="s">
        <v>548</v>
      </c>
      <c r="C189" s="20" t="s">
        <v>547</v>
      </c>
      <c r="D189" s="22" t="n">
        <f aca="false">AVERAGE(Responses!$BQ$2:$BQ$500)</f>
        <v>4.29032258064516</v>
      </c>
      <c r="E189" s="21" t="n">
        <f aca="false">COUNTIF(Responses!$BQ$2:$BQ$500,1)/'1-Patterns'!$C$4</f>
        <v>0</v>
      </c>
      <c r="F189" s="21" t="n">
        <f aca="false">COUNTIF(Responses!$BQ$2:$BQ$500,"&lt;=2")/'1-Patterns'!$C$4</f>
        <v>0.0967741935483871</v>
      </c>
      <c r="G189" s="21" t="n">
        <f aca="false">COUNTIF(Responses!$BQ$2:$BQ$500,6)/'1-Patterns'!$C$4</f>
        <v>0.169354838709677</v>
      </c>
    </row>
    <row r="190" customFormat="false" ht="15" hidden="false" customHeight="false" outlineLevel="0" collapsed="false">
      <c r="B190" s="8" t="s">
        <v>550</v>
      </c>
      <c r="C190" s="20" t="s">
        <v>467</v>
      </c>
      <c r="D190" s="22" t="n">
        <f aca="false">AVERAGE(Responses!$BR$2:$BR$500)</f>
        <v>3.62096774193548</v>
      </c>
      <c r="E190" s="21" t="n">
        <f aca="false">COUNTIF(Responses!$BR$2:$BR$500,1)/'1-Patterns'!$C$4</f>
        <v>0.0967741935483871</v>
      </c>
      <c r="F190" s="21" t="n">
        <f aca="false">COUNTIF(Responses!$BR$2:$BR$500,"&lt;=2")/'1-Patterns'!$C$4</f>
        <v>0.42741935483871</v>
      </c>
      <c r="G190" s="21" t="n">
        <f aca="false">COUNTIF(Responses!$BR$2:$BR$500,6)/'1-Patterns'!$C$4</f>
        <v>0.153225806451613</v>
      </c>
    </row>
    <row r="191" customFormat="false" ht="15" hidden="false" customHeight="false" outlineLevel="0" collapsed="false">
      <c r="B191" s="8" t="s">
        <v>553</v>
      </c>
      <c r="C191" s="20" t="s">
        <v>552</v>
      </c>
      <c r="D191" s="22" t="n">
        <f aca="false">AVERAGE(Responses!$BS$2:$BS$500)</f>
        <v>5.55645161290323</v>
      </c>
      <c r="E191" s="21" t="n">
        <f aca="false">COUNTIF(Responses!$BS$2:$BS$500,1)/'1-Patterns'!$C$4</f>
        <v>0.00806451612903226</v>
      </c>
      <c r="F191" s="21" t="n">
        <f aca="false">COUNTIF(Responses!$BS$2:$BS$500,"&lt;=2")/'1-Patterns'!$C$4</f>
        <v>0.00806451612903226</v>
      </c>
      <c r="G191" s="21" t="n">
        <f aca="false">COUNTIF(Responses!$BS$2:$BS$500,6)/'1-Patterns'!$C$4</f>
        <v>0.669354838709677</v>
      </c>
    </row>
    <row r="193" customFormat="false" ht="19.5" hidden="false" customHeight="true" outlineLevel="0" collapsed="false">
      <c r="A193" s="3" t="s">
        <v>1133</v>
      </c>
      <c r="B193" s="4"/>
      <c r="C193" s="4"/>
      <c r="D193" s="4"/>
      <c r="E193" s="4"/>
      <c r="F193" s="4"/>
      <c r="G193" s="4"/>
      <c r="H193" s="4"/>
    </row>
    <row r="194" customFormat="false" ht="35.05" hidden="false" customHeight="false" outlineLevel="0" collapsed="false">
      <c r="B194" s="19" t="s">
        <v>1134</v>
      </c>
      <c r="C194" s="19" t="s">
        <v>391</v>
      </c>
      <c r="D194" s="19" t="s">
        <v>393</v>
      </c>
      <c r="E194" s="19" t="s">
        <v>396</v>
      </c>
      <c r="F194" s="19" t="s">
        <v>399</v>
      </c>
      <c r="G194" s="19" t="s">
        <v>402</v>
      </c>
      <c r="H194" s="19" t="s">
        <v>405</v>
      </c>
      <c r="I194" s="19" t="s">
        <v>1135</v>
      </c>
    </row>
    <row r="195" customFormat="false" ht="15" hidden="false" customHeight="false" outlineLevel="0" collapsed="false">
      <c r="B195" s="8" t="s">
        <v>272</v>
      </c>
      <c r="C195" s="20" t="n">
        <f aca="false">COUNTIFS(Responses!$C$2:$C$500,"bsc",Responses!$R$2:$R$500,"lt1")</f>
        <v>0</v>
      </c>
      <c r="D195" s="20" t="n">
        <f aca="false">COUNTIFS(Responses!$C$2:$C$500,"bsc",Responses!$R$2:$R$500,"1")</f>
        <v>2</v>
      </c>
      <c r="E195" s="20" t="n">
        <f aca="false">COUNTIFS(Responses!$C$2:$C$500,"bsc",Responses!$R$2:$R$500,"2-3")</f>
        <v>3</v>
      </c>
      <c r="F195" s="20" t="n">
        <f aca="false">COUNTIFS(Responses!$C$2:$C$500,"bsc",Responses!$R$2:$R$500,"4-6")</f>
        <v>9</v>
      </c>
      <c r="G195" s="20" t="n">
        <f aca="false">COUNTIFS(Responses!$C$2:$C$500,"bsc",Responses!$R$2:$R$500,"daily")</f>
        <v>9</v>
      </c>
      <c r="H195" s="20" t="n">
        <f aca="false">COUNTIFS(Responses!$C$2:$C$500,"bsc",Responses!$R$2:$R$500,"several")</f>
        <v>18</v>
      </c>
      <c r="I195" s="25" t="n">
        <f aca="false">SUM(C195:H195)</f>
        <v>41</v>
      </c>
    </row>
    <row r="196" customFormat="false" ht="15" hidden="false" customHeight="false" outlineLevel="0" collapsed="false">
      <c r="B196" s="8" t="s">
        <v>275</v>
      </c>
      <c r="C196" s="20" t="n">
        <f aca="false">COUNTIFS(Responses!$C$2:$C$500,"msc",Responses!$R$2:$R$500,"lt1")</f>
        <v>0</v>
      </c>
      <c r="D196" s="20" t="n">
        <f aca="false">COUNTIFS(Responses!$C$2:$C$500,"msc",Responses!$R$2:$R$500,"1")</f>
        <v>2</v>
      </c>
      <c r="E196" s="20" t="n">
        <f aca="false">COUNTIFS(Responses!$C$2:$C$500,"msc",Responses!$R$2:$R$500,"2-3")</f>
        <v>7</v>
      </c>
      <c r="F196" s="20" t="n">
        <f aca="false">COUNTIFS(Responses!$C$2:$C$500,"msc",Responses!$R$2:$R$500,"4-6")</f>
        <v>12</v>
      </c>
      <c r="G196" s="20" t="n">
        <f aca="false">COUNTIFS(Responses!$C$2:$C$500,"msc",Responses!$R$2:$R$500,"daily")</f>
        <v>15</v>
      </c>
      <c r="H196" s="20" t="n">
        <f aca="false">COUNTIFS(Responses!$C$2:$C$500,"msc",Responses!$R$2:$R$500,"several")</f>
        <v>6</v>
      </c>
      <c r="I196" s="25" t="n">
        <f aca="false">SUM(C196:H196)</f>
        <v>42</v>
      </c>
    </row>
    <row r="197" customFormat="false" ht="15" hidden="false" customHeight="false" outlineLevel="0" collapsed="false">
      <c r="B197" s="8" t="s">
        <v>278</v>
      </c>
      <c r="C197" s="20" t="n">
        <f aca="false">COUNTIFS(Responses!$C$2:$C$500,"phd",Responses!$R$2:$R$500,"lt1")</f>
        <v>0</v>
      </c>
      <c r="D197" s="20" t="n">
        <f aca="false">COUNTIFS(Responses!$C$2:$C$500,"phd",Responses!$R$2:$R$500,"1")</f>
        <v>0</v>
      </c>
      <c r="E197" s="20" t="n">
        <f aca="false">COUNTIFS(Responses!$C$2:$C$500,"phd",Responses!$R$2:$R$500,"2-3")</f>
        <v>0</v>
      </c>
      <c r="F197" s="20" t="n">
        <f aca="false">COUNTIFS(Responses!$C$2:$C$500,"phd",Responses!$R$2:$R$500,"4-6")</f>
        <v>3</v>
      </c>
      <c r="G197" s="20" t="n">
        <f aca="false">COUNTIFS(Responses!$C$2:$C$500,"phd",Responses!$R$2:$R$500,"daily")</f>
        <v>5</v>
      </c>
      <c r="H197" s="20" t="n">
        <f aca="false">COUNTIFS(Responses!$C$2:$C$500,"phd",Responses!$R$2:$R$500,"several")</f>
        <v>1</v>
      </c>
      <c r="I197" s="25" t="n">
        <f aca="false">SUM(C197:H197)</f>
        <v>9</v>
      </c>
    </row>
    <row r="198" customFormat="false" ht="15" hidden="false" customHeight="false" outlineLevel="0" collapsed="false">
      <c r="B198" s="8" t="s">
        <v>281</v>
      </c>
      <c r="C198" s="20" t="n">
        <f aca="false">COUNTIFS(Responses!$C$2:$C$500,"lecturer",Responses!$R$2:$R$500,"lt1")</f>
        <v>2</v>
      </c>
      <c r="D198" s="20" t="n">
        <f aca="false">COUNTIFS(Responses!$C$2:$C$500,"lecturer",Responses!$R$2:$R$500,"1")</f>
        <v>5</v>
      </c>
      <c r="E198" s="20" t="n">
        <f aca="false">COUNTIFS(Responses!$C$2:$C$500,"lecturer",Responses!$R$2:$R$500,"2-3")</f>
        <v>4</v>
      </c>
      <c r="F198" s="20" t="n">
        <f aca="false">COUNTIFS(Responses!$C$2:$C$500,"lecturer",Responses!$R$2:$R$500,"4-6")</f>
        <v>0</v>
      </c>
      <c r="G198" s="20" t="n">
        <f aca="false">COUNTIFS(Responses!$C$2:$C$500,"lecturer",Responses!$R$2:$R$500,"daily")</f>
        <v>1</v>
      </c>
      <c r="H198" s="20" t="n">
        <f aca="false">COUNTIFS(Responses!$C$2:$C$500,"lecturer",Responses!$R$2:$R$500,"several")</f>
        <v>8</v>
      </c>
      <c r="I198" s="25" t="n">
        <f aca="false">SUM(C198:H198)</f>
        <v>20</v>
      </c>
    </row>
    <row r="199" customFormat="false" ht="15" hidden="false" customHeight="false" outlineLevel="0" collapsed="false">
      <c r="B199" s="8" t="s">
        <v>284</v>
      </c>
      <c r="C199" s="20" t="n">
        <f aca="false">COUNTIFS(Responses!$C$2:$C$500,"ta",Responses!$R$2:$R$500,"lt1")</f>
        <v>1</v>
      </c>
      <c r="D199" s="20" t="n">
        <f aca="false">COUNTIFS(Responses!$C$2:$C$500,"ta",Responses!$R$2:$R$500,"1")</f>
        <v>0</v>
      </c>
      <c r="E199" s="20" t="n">
        <f aca="false">COUNTIFS(Responses!$C$2:$C$500,"ta",Responses!$R$2:$R$500,"2-3")</f>
        <v>0</v>
      </c>
      <c r="F199" s="20" t="n">
        <f aca="false">COUNTIFS(Responses!$C$2:$C$500,"ta",Responses!$R$2:$R$500,"4-6")</f>
        <v>0</v>
      </c>
      <c r="G199" s="20" t="n">
        <f aca="false">COUNTIFS(Responses!$C$2:$C$500,"ta",Responses!$R$2:$R$500,"daily")</f>
        <v>2</v>
      </c>
      <c r="H199" s="20" t="n">
        <f aca="false">COUNTIFS(Responses!$C$2:$C$500,"ta",Responses!$R$2:$R$500,"several")</f>
        <v>3</v>
      </c>
      <c r="I199" s="25" t="n">
        <f aca="false">SUM(C199:H199)</f>
        <v>6</v>
      </c>
    </row>
    <row r="200" customFormat="false" ht="15" hidden="false" customHeight="false" outlineLevel="0" collapsed="false">
      <c r="B200" s="8" t="s">
        <v>287</v>
      </c>
      <c r="C200" s="20" t="n">
        <f aca="false">COUNTIFS(Responses!$C$2:$C$500,"staff",Responses!$R$2:$R$500,"lt1")</f>
        <v>1</v>
      </c>
      <c r="D200" s="20" t="n">
        <f aca="false">COUNTIFS(Responses!$C$2:$C$500,"staff",Responses!$R$2:$R$500,"1")</f>
        <v>1</v>
      </c>
      <c r="E200" s="20" t="n">
        <f aca="false">COUNTIFS(Responses!$C$2:$C$500,"staff",Responses!$R$2:$R$500,"2-3")</f>
        <v>1</v>
      </c>
      <c r="F200" s="20" t="n">
        <f aca="false">COUNTIFS(Responses!$C$2:$C$500,"staff",Responses!$R$2:$R$500,"4-6")</f>
        <v>0</v>
      </c>
      <c r="G200" s="20" t="n">
        <f aca="false">COUNTIFS(Responses!$C$2:$C$500,"staff",Responses!$R$2:$R$500,"daily")</f>
        <v>0</v>
      </c>
      <c r="H200" s="20" t="n">
        <f aca="false">COUNTIFS(Responses!$C$2:$C$500,"staff",Responses!$R$2:$R$500,"several")</f>
        <v>3</v>
      </c>
      <c r="I200" s="25" t="n">
        <f aca="false">SUM(C200:H200)</f>
        <v>6</v>
      </c>
    </row>
    <row r="202" customFormat="false" ht="23.85" hidden="false" customHeight="false" outlineLevel="0" collapsed="false">
      <c r="B202" s="19" t="s">
        <v>1136</v>
      </c>
      <c r="C202" s="19" t="s">
        <v>1137</v>
      </c>
      <c r="D202" s="19" t="s">
        <v>1138</v>
      </c>
      <c r="E202" s="19" t="s">
        <v>1139</v>
      </c>
      <c r="F202" s="19" t="s">
        <v>1140</v>
      </c>
      <c r="G202" s="19" t="s">
        <v>1141</v>
      </c>
      <c r="H202" s="19" t="s">
        <v>1142</v>
      </c>
    </row>
    <row r="203" customFormat="false" ht="15" hidden="false" customHeight="false" outlineLevel="0" collapsed="false">
      <c r="B203" s="8" t="s">
        <v>272</v>
      </c>
      <c r="C203" s="20" t="n">
        <f aca="false">COUNTIF(Responses!$C$2:$C$500,"bsc")</f>
        <v>41</v>
      </c>
      <c r="D203" s="22" t="n">
        <f aca="false">IFERROR(AVERAGEIFS(Responses!$BL$2:$BL$500,Responses!$C$2:$C$500,"bsc"),"")</f>
        <v>4.17073170731707</v>
      </c>
      <c r="E203" s="22" t="n">
        <f aca="false">IFERROR(AVERAGEIFS(Responses!$BB$2:$BB$500,Responses!$C$2:$C$500,"bsc"),"")</f>
        <v>3.78048780487805</v>
      </c>
      <c r="F203" s="22" t="n">
        <f aca="false">IFERROR(AVERAGEIFS(Responses!$BI$2:$BI$500,Responses!$C$2:$C$500,"bsc"),"")</f>
        <v>5</v>
      </c>
      <c r="G203" s="22" t="n">
        <f aca="false">IFERROR(AVERAGEIFS(Responses!$BF$2:$BF$500,Responses!$C$2:$C$500,"bsc"),"")</f>
        <v>3.14634146341463</v>
      </c>
      <c r="H203" s="22" t="n">
        <f aca="false">IFERROR(AVERAGEIFS(Responses!$BE$2:$BE$500,Responses!$C$2:$C$500,"bsc"),"")</f>
        <v>5.1219512195122</v>
      </c>
    </row>
    <row r="204" customFormat="false" ht="15" hidden="false" customHeight="false" outlineLevel="0" collapsed="false">
      <c r="B204" s="8" t="s">
        <v>275</v>
      </c>
      <c r="C204" s="20" t="n">
        <f aca="false">COUNTIF(Responses!$C$2:$C$500,"msc")</f>
        <v>42</v>
      </c>
      <c r="D204" s="22" t="n">
        <f aca="false">IFERROR(AVERAGEIFS(Responses!$BL$2:$BL$500,Responses!$C$2:$C$500,"msc"),"")</f>
        <v>3.52380952380952</v>
      </c>
      <c r="E204" s="22" t="n">
        <f aca="false">IFERROR(AVERAGEIFS(Responses!$BB$2:$BB$500,Responses!$C$2:$C$500,"msc"),"")</f>
        <v>3.21428571428571</v>
      </c>
      <c r="F204" s="22" t="n">
        <f aca="false">IFERROR(AVERAGEIFS(Responses!$BI$2:$BI$500,Responses!$C$2:$C$500,"msc"),"")</f>
        <v>5.16666666666667</v>
      </c>
      <c r="G204" s="22" t="n">
        <f aca="false">IFERROR(AVERAGEIFS(Responses!$BF$2:$BF$500,Responses!$C$2:$C$500,"msc"),"")</f>
        <v>3.38095238095238</v>
      </c>
      <c r="H204" s="22" t="n">
        <f aca="false">IFERROR(AVERAGEIFS(Responses!$BE$2:$BE$500,Responses!$C$2:$C$500,"msc"),"")</f>
        <v>5</v>
      </c>
    </row>
    <row r="205" customFormat="false" ht="15" hidden="false" customHeight="false" outlineLevel="0" collapsed="false">
      <c r="B205" s="8" t="s">
        <v>278</v>
      </c>
      <c r="C205" s="20" t="n">
        <f aca="false">COUNTIF(Responses!$C$2:$C$500,"phd")</f>
        <v>9</v>
      </c>
      <c r="D205" s="22" t="n">
        <f aca="false">IFERROR(AVERAGEIFS(Responses!$BL$2:$BL$500,Responses!$C$2:$C$500,"phd"),"")</f>
        <v>3.66666666666667</v>
      </c>
      <c r="E205" s="22" t="n">
        <f aca="false">IFERROR(AVERAGEIFS(Responses!$BB$2:$BB$500,Responses!$C$2:$C$500,"phd"),"")</f>
        <v>3</v>
      </c>
      <c r="F205" s="22" t="n">
        <f aca="false">IFERROR(AVERAGEIFS(Responses!$BI$2:$BI$500,Responses!$C$2:$C$500,"phd"),"")</f>
        <v>6</v>
      </c>
      <c r="G205" s="22" t="n">
        <f aca="false">IFERROR(AVERAGEIFS(Responses!$BF$2:$BF$500,Responses!$C$2:$C$500,"phd"),"")</f>
        <v>3.66666666666667</v>
      </c>
      <c r="H205" s="22" t="n">
        <f aca="false">IFERROR(AVERAGEIFS(Responses!$BE$2:$BE$500,Responses!$C$2:$C$500,"phd"),"")</f>
        <v>4.55555555555556</v>
      </c>
    </row>
    <row r="206" customFormat="false" ht="15" hidden="false" customHeight="false" outlineLevel="0" collapsed="false">
      <c r="B206" s="8" t="s">
        <v>281</v>
      </c>
      <c r="C206" s="20" t="n">
        <f aca="false">COUNTIF(Responses!$C$2:$C$500,"lecturer")</f>
        <v>20</v>
      </c>
      <c r="D206" s="22" t="n">
        <f aca="false">IFERROR(AVERAGEIFS(Responses!$BL$2:$BL$500,Responses!$C$2:$C$500,"lecturer"),"")</f>
        <v>3.3</v>
      </c>
      <c r="E206" s="22" t="n">
        <f aca="false">IFERROR(AVERAGEIFS(Responses!$BB$2:$BB$500,Responses!$C$2:$C$500,"lecturer"),"")</f>
        <v>3.8</v>
      </c>
      <c r="F206" s="22" t="n">
        <f aca="false">IFERROR(AVERAGEIFS(Responses!$BI$2:$BI$500,Responses!$C$2:$C$500,"lecturer"),"")</f>
        <v>4.05</v>
      </c>
      <c r="G206" s="22" t="n">
        <f aca="false">IFERROR(AVERAGEIFS(Responses!$BF$2:$BF$500,Responses!$C$2:$C$500,"lecturer"),"")</f>
        <v>3.25</v>
      </c>
      <c r="H206" s="22" t="n">
        <f aca="false">IFERROR(AVERAGEIFS(Responses!$BE$2:$BE$500,Responses!$C$2:$C$500,"lecturer"),"")</f>
        <v>4.95</v>
      </c>
    </row>
    <row r="207" customFormat="false" ht="15" hidden="false" customHeight="false" outlineLevel="0" collapsed="false">
      <c r="B207" s="8" t="s">
        <v>284</v>
      </c>
      <c r="C207" s="20" t="n">
        <f aca="false">COUNTIF(Responses!$C$2:$C$500,"ta")</f>
        <v>6</v>
      </c>
      <c r="D207" s="22" t="n">
        <f aca="false">IFERROR(AVERAGEIFS(Responses!$BL$2:$BL$500,Responses!$C$2:$C$500,"ta"),"")</f>
        <v>3.83333333333333</v>
      </c>
      <c r="E207" s="22" t="n">
        <f aca="false">IFERROR(AVERAGEIFS(Responses!$BB$2:$BB$500,Responses!$C$2:$C$500,"ta"),"")</f>
        <v>3.66666666666667</v>
      </c>
      <c r="F207" s="22" t="n">
        <f aca="false">IFERROR(AVERAGEIFS(Responses!$BI$2:$BI$500,Responses!$C$2:$C$500,"ta"),"")</f>
        <v>5.5</v>
      </c>
      <c r="G207" s="22" t="n">
        <f aca="false">IFERROR(AVERAGEIFS(Responses!$BF$2:$BF$500,Responses!$C$2:$C$500,"ta"),"")</f>
        <v>2.66666666666667</v>
      </c>
      <c r="H207" s="22" t="n">
        <f aca="false">IFERROR(AVERAGEIFS(Responses!$BE$2:$BE$500,Responses!$C$2:$C$500,"ta"),"")</f>
        <v>6</v>
      </c>
    </row>
    <row r="208" customFormat="false" ht="15" hidden="false" customHeight="false" outlineLevel="0" collapsed="false">
      <c r="B208" s="8" t="s">
        <v>287</v>
      </c>
      <c r="C208" s="20" t="n">
        <f aca="false">COUNTIF(Responses!$C$2:$C$500,"staff")</f>
        <v>6</v>
      </c>
      <c r="D208" s="22" t="n">
        <f aca="false">IFERROR(AVERAGEIFS(Responses!$BL$2:$BL$500,Responses!$C$2:$C$500,"staff"),"")</f>
        <v>3.83333333333333</v>
      </c>
      <c r="E208" s="22" t="n">
        <f aca="false">IFERROR(AVERAGEIFS(Responses!$BB$2:$BB$500,Responses!$C$2:$C$500,"staff"),"")</f>
        <v>3.66666666666667</v>
      </c>
      <c r="F208" s="22" t="n">
        <f aca="false">IFERROR(AVERAGEIFS(Responses!$BI$2:$BI$500,Responses!$C$2:$C$500,"staff"),"")</f>
        <v>3.33333333333333</v>
      </c>
      <c r="G208" s="22" t="n">
        <f aca="false">IFERROR(AVERAGEIFS(Responses!$BF$2:$BF$500,Responses!$C$2:$C$500,"staff"),"")</f>
        <v>3.5</v>
      </c>
      <c r="H208" s="22" t="n">
        <f aca="false">IFERROR(AVERAGEIFS(Responses!$BE$2:$BE$500,Responses!$C$2:$C$500,"staff"),"")</f>
        <v>5.5</v>
      </c>
    </row>
    <row r="210" customFormat="false" ht="23.85" hidden="false" customHeight="false" outlineLevel="0" collapsed="false">
      <c r="B210" s="19" t="s">
        <v>1143</v>
      </c>
      <c r="C210" s="19" t="s">
        <v>1137</v>
      </c>
      <c r="D210" s="19" t="s">
        <v>1138</v>
      </c>
      <c r="E210" s="19" t="s">
        <v>1141</v>
      </c>
      <c r="F210" s="19" t="s">
        <v>1144</v>
      </c>
      <c r="G210" s="19" t="s">
        <v>1145</v>
      </c>
    </row>
    <row r="211" customFormat="false" ht="15" hidden="false" customHeight="false" outlineLevel="0" collapsed="false">
      <c r="B211" s="8" t="s">
        <v>408</v>
      </c>
      <c r="C211" s="20" t="n">
        <f aca="false">COUNTIF(Responses!$X$2:$X$500,"laptop")</f>
        <v>68</v>
      </c>
      <c r="D211" s="22" t="n">
        <f aca="false">IFERROR(AVERAGEIFS(Responses!$BL$2:$BL$500,Responses!$X$2:$X$500,"laptop"),"")</f>
        <v>3.58823529411765</v>
      </c>
      <c r="E211" s="22" t="n">
        <f aca="false">IFERROR(AVERAGEIFS(Responses!$BF$2:$BF$500,Responses!$X$2:$X$500,"laptop"),"")</f>
        <v>3.44117647058824</v>
      </c>
      <c r="F211" s="22" t="n">
        <f aca="false">IFERROR(AVERAGEIFS(Responses!$BX$2:$BX$500,Responses!$X$2:$X$500,"laptop"),"")</f>
        <v>3.69117647058824</v>
      </c>
      <c r="G211" s="22" t="n">
        <f aca="false">IFERROR(AVERAGEIFS(Responses!$BW$2:$BW$500,Responses!$X$2:$X$500,"laptop"),"")</f>
        <v>4.33823529411765</v>
      </c>
    </row>
    <row r="212" customFormat="false" ht="15" hidden="false" customHeight="false" outlineLevel="0" collapsed="false">
      <c r="B212" s="8" t="s">
        <v>411</v>
      </c>
      <c r="C212" s="20" t="n">
        <f aca="false">COUNTIF(Responses!$X$2:$X$500,"desktop")</f>
        <v>21</v>
      </c>
      <c r="D212" s="22" t="n">
        <f aca="false">IFERROR(AVERAGEIFS(Responses!$BL$2:$BL$500,Responses!$X$2:$X$500,"desktop"),"")</f>
        <v>3.38095238095238</v>
      </c>
      <c r="E212" s="22" t="n">
        <f aca="false">IFERROR(AVERAGEIFS(Responses!$BF$2:$BF$500,Responses!$X$2:$X$500,"desktop"),"")</f>
        <v>3.23809523809524</v>
      </c>
      <c r="F212" s="22" t="n">
        <f aca="false">IFERROR(AVERAGEIFS(Responses!$BX$2:$BX$500,Responses!$X$2:$X$500,"desktop"),"")</f>
        <v>3.80952380952381</v>
      </c>
      <c r="G212" s="22" t="n">
        <f aca="false">IFERROR(AVERAGEIFS(Responses!$BW$2:$BW$500,Responses!$X$2:$X$500,"desktop"),"")</f>
        <v>4</v>
      </c>
    </row>
    <row r="213" customFormat="false" ht="15" hidden="false" customHeight="false" outlineLevel="0" collapsed="false">
      <c r="B213" s="8" t="s">
        <v>425</v>
      </c>
      <c r="C213" s="20" t="n">
        <f aca="false">COUNTIF(Responses!$X$2:$X$500,"phone")</f>
        <v>32</v>
      </c>
      <c r="D213" s="22" t="n">
        <f aca="false">IFERROR(AVERAGEIFS(Responses!$BL$2:$BL$500,Responses!$X$2:$X$500,"phone"),"")</f>
        <v>4.375</v>
      </c>
      <c r="E213" s="22" t="n">
        <f aca="false">IFERROR(AVERAGEIFS(Responses!$BF$2:$BF$500,Responses!$X$2:$X$500,"phone"),"")</f>
        <v>2.90625</v>
      </c>
      <c r="F213" s="22" t="n">
        <f aca="false">IFERROR(AVERAGEIFS(Responses!$BX$2:$BX$500,Responses!$X$2:$X$500,"phone"),"")</f>
        <v>1.71875</v>
      </c>
      <c r="G213" s="22" t="n">
        <f aca="false">IFERROR(AVERAGEIFS(Responses!$BW$2:$BW$500,Responses!$X$2:$X$500,"phone"),"")</f>
        <v>5.15625</v>
      </c>
    </row>
    <row r="214" customFormat="false" ht="15" hidden="false" customHeight="false" outlineLevel="0" collapsed="false">
      <c r="B214" s="8" t="s">
        <v>420</v>
      </c>
      <c r="C214" s="20" t="n">
        <f aca="false">COUNTIF(Responses!$X$2:$X$500,"tablet")</f>
        <v>3</v>
      </c>
      <c r="D214" s="22" t="n">
        <f aca="false">IFERROR(AVERAGEIFS(Responses!$BL$2:$BL$500,Responses!$X$2:$X$500,"tablet"),"")</f>
        <v>3</v>
      </c>
      <c r="E214" s="22" t="n">
        <f aca="false">IFERROR(AVERAGEIFS(Responses!$BF$2:$BF$500,Responses!$X$2:$X$500,"tablet"),"")</f>
        <v>3.66666666666667</v>
      </c>
      <c r="F214" s="22" t="n">
        <f aca="false">IFERROR(AVERAGEIFS(Responses!$BX$2:$BX$500,Responses!$X$2:$X$500,"tablet"),"")</f>
        <v>3</v>
      </c>
      <c r="G214" s="22" t="n">
        <f aca="false">IFERROR(AVERAGEIFS(Responses!$BW$2:$BW$500,Responses!$X$2:$X$500,"tablet"),"")</f>
        <v>5</v>
      </c>
    </row>
    <row r="216" customFormat="false" ht="23.85" hidden="false" customHeight="false" outlineLevel="0" collapsed="false">
      <c r="B216" s="19" t="s">
        <v>1146</v>
      </c>
      <c r="C216" s="19" t="s">
        <v>1137</v>
      </c>
      <c r="D216" s="19" t="s">
        <v>1138</v>
      </c>
      <c r="E216" s="19" t="s">
        <v>1139</v>
      </c>
      <c r="F216" s="19" t="s">
        <v>1147</v>
      </c>
    </row>
    <row r="217" customFormat="false" ht="15" hidden="false" customHeight="false" outlineLevel="0" collapsed="false">
      <c r="B217" s="8" t="s">
        <v>391</v>
      </c>
      <c r="C217" s="20" t="n">
        <f aca="false">COUNTIF(Responses!$R$2:$R$500,"lt1")</f>
        <v>4</v>
      </c>
      <c r="D217" s="22" t="n">
        <f aca="false">IFERROR(AVERAGEIFS(Responses!$BL$2:$BL$500,Responses!$R$2:$R$500,"lt1"),"")</f>
        <v>2.75</v>
      </c>
      <c r="E217" s="22" t="n">
        <f aca="false">IFERROR(AVERAGEIFS(Responses!$BB$2:$BB$500,Responses!$R$2:$R$500,"lt1"),"")</f>
        <v>3</v>
      </c>
      <c r="F217" s="21" t="n">
        <f aca="false">IFERROR(COUNTIFS(Responses!$AS$2:$AS$500,1,Responses!$R$2:$R$500,"lt1")/C217,"")</f>
        <v>0</v>
      </c>
    </row>
    <row r="218" customFormat="false" ht="15" hidden="false" customHeight="false" outlineLevel="0" collapsed="false">
      <c r="B218" s="8" t="s">
        <v>393</v>
      </c>
      <c r="C218" s="20" t="n">
        <f aca="false">COUNTIF(Responses!$R$2:$R$500,"1")</f>
        <v>10</v>
      </c>
      <c r="D218" s="22" t="n">
        <f aca="false">IFERROR(AVERAGEIFS(Responses!$BL$2:$BL$500,Responses!$R$2:$R$500,"1"),"")</f>
        <v>2.7</v>
      </c>
      <c r="E218" s="22" t="n">
        <f aca="false">IFERROR(AVERAGEIFS(Responses!$BB$2:$BB$500,Responses!$R$2:$R$500,"1"),"")</f>
        <v>3.4</v>
      </c>
      <c r="F218" s="21" t="n">
        <f aca="false">IFERROR(COUNTIFS(Responses!$AS$2:$AS$500,1,Responses!$R$2:$R$500,"1")/C218,"")</f>
        <v>0.1</v>
      </c>
    </row>
    <row r="219" customFormat="false" ht="15" hidden="false" customHeight="false" outlineLevel="0" collapsed="false">
      <c r="B219" s="8" t="s">
        <v>396</v>
      </c>
      <c r="C219" s="20" t="n">
        <f aca="false">COUNTIF(Responses!$R$2:$R$500,"2-3")</f>
        <v>15</v>
      </c>
      <c r="D219" s="22" t="n">
        <f aca="false">IFERROR(AVERAGEIFS(Responses!$BL$2:$BL$500,Responses!$R$2:$R$500,"2-3"),"")</f>
        <v>3.06666666666667</v>
      </c>
      <c r="E219" s="22" t="n">
        <f aca="false">IFERROR(AVERAGEIFS(Responses!$BB$2:$BB$500,Responses!$R$2:$R$500,"2-3"),"")</f>
        <v>3.33333333333333</v>
      </c>
      <c r="F219" s="21" t="n">
        <f aca="false">IFERROR(COUNTIFS(Responses!$AS$2:$AS$500,1,Responses!$R$2:$R$500,"2-3")/C219,"")</f>
        <v>0.2</v>
      </c>
    </row>
    <row r="220" customFormat="false" ht="15" hidden="false" customHeight="false" outlineLevel="0" collapsed="false">
      <c r="B220" s="8" t="s">
        <v>399</v>
      </c>
      <c r="C220" s="20" t="n">
        <f aca="false">COUNTIF(Responses!$R$2:$R$500,"4-6")</f>
        <v>24</v>
      </c>
      <c r="D220" s="22" t="n">
        <f aca="false">IFERROR(AVERAGEIFS(Responses!$BL$2:$BL$500,Responses!$R$2:$R$500,"4-6"),"")</f>
        <v>3.5</v>
      </c>
      <c r="E220" s="22" t="n">
        <f aca="false">IFERROR(AVERAGEIFS(Responses!$BB$2:$BB$500,Responses!$R$2:$R$500,"4-6"),"")</f>
        <v>3.375</v>
      </c>
      <c r="F220" s="21" t="n">
        <f aca="false">IFERROR(COUNTIFS(Responses!$AS$2:$AS$500,1,Responses!$R$2:$R$500,"4-6")/C220,"")</f>
        <v>0.25</v>
      </c>
    </row>
    <row r="221" customFormat="false" ht="15" hidden="false" customHeight="false" outlineLevel="0" collapsed="false">
      <c r="B221" s="8" t="s">
        <v>402</v>
      </c>
      <c r="C221" s="20" t="n">
        <f aca="false">COUNTIF(Responses!$R$2:$R$500,"daily")</f>
        <v>32</v>
      </c>
      <c r="D221" s="22" t="n">
        <f aca="false">IFERROR(AVERAGEIFS(Responses!$BL$2:$BL$500,Responses!$R$2:$R$500,"daily"),"")</f>
        <v>3.84375</v>
      </c>
      <c r="E221" s="22" t="n">
        <f aca="false">IFERROR(AVERAGEIFS(Responses!$BB$2:$BB$500,Responses!$R$2:$R$500,"daily"),"")</f>
        <v>3.34375</v>
      </c>
      <c r="F221" s="21" t="n">
        <f aca="false">IFERROR(COUNTIFS(Responses!$AS$2:$AS$500,1,Responses!$R$2:$R$500,"daily")/C221,"")</f>
        <v>0.09375</v>
      </c>
    </row>
    <row r="222" customFormat="false" ht="15" hidden="false" customHeight="false" outlineLevel="0" collapsed="false">
      <c r="B222" s="8" t="s">
        <v>405</v>
      </c>
      <c r="C222" s="20" t="n">
        <f aca="false">COUNTIF(Responses!$R$2:$R$500,"several")</f>
        <v>39</v>
      </c>
      <c r="D222" s="22" t="n">
        <f aca="false">IFERROR(AVERAGEIFS(Responses!$BL$2:$BL$500,Responses!$R$2:$R$500,"several"),"")</f>
        <v>4.43589743589744</v>
      </c>
      <c r="E222" s="22" t="n">
        <f aca="false">IFERROR(AVERAGEIFS(Responses!$BB$2:$BB$500,Responses!$R$2:$R$500,"several"),"")</f>
        <v>3.92307692307692</v>
      </c>
      <c r="F222" s="21" t="n">
        <f aca="false">IFERROR(COUNTIFS(Responses!$AS$2:$AS$500,1,Responses!$R$2:$R$500,"several")/C222,"")</f>
        <v>0.102564102564103</v>
      </c>
    </row>
    <row r="224" customFormat="false" ht="35.05" hidden="false" customHeight="false" outlineLevel="0" collapsed="false">
      <c r="B224" s="19" t="s">
        <v>1148</v>
      </c>
      <c r="C224" s="19" t="s">
        <v>1137</v>
      </c>
      <c r="D224" s="19" t="s">
        <v>1147</v>
      </c>
      <c r="E224" s="19" t="s">
        <v>1149</v>
      </c>
      <c r="F224" s="19" t="s">
        <v>1138</v>
      </c>
    </row>
    <row r="225" customFormat="false" ht="15" hidden="false" customHeight="false" outlineLevel="0" collapsed="false">
      <c r="B225" s="8" t="s">
        <v>357</v>
      </c>
      <c r="C225" s="20" t="n">
        <f aca="false">COUNTIF(Responses!$I$2:$I$500,"0")</f>
        <v>34</v>
      </c>
      <c r="D225" s="21" t="n">
        <f aca="false">IFERROR(COUNTIFS(Responses!$AS$2:$AS$500,1,Responses!$I$2:$I$500,"0")/C225,"")</f>
        <v>0.0882352941176471</v>
      </c>
      <c r="E225" s="22" t="n">
        <f aca="false">IFERROR(AVERAGEIFS(Responses!$BW$2:$BW$500,Responses!$I$2:$I$500,"0"),"")</f>
        <v>4.32352941176471</v>
      </c>
      <c r="F225" s="22" t="n">
        <f aca="false">IFERROR(AVERAGEIFS(Responses!$BL$2:$BL$500,Responses!$I$2:$I$500,"0"),"")</f>
        <v>3.85294117647059</v>
      </c>
    </row>
    <row r="226" customFormat="false" ht="15" hidden="false" customHeight="false" outlineLevel="0" collapsed="false">
      <c r="B226" s="8" t="s">
        <v>360</v>
      </c>
      <c r="C226" s="20" t="n">
        <f aca="false">COUNTIF(Responses!$I$2:$I$500,"1-8")</f>
        <v>34</v>
      </c>
      <c r="D226" s="21" t="n">
        <f aca="false">IFERROR(COUNTIFS(Responses!$AS$2:$AS$500,1,Responses!$I$2:$I$500,"1-8")/C226,"")</f>
        <v>0.117647058823529</v>
      </c>
      <c r="E226" s="22" t="n">
        <f aca="false">IFERROR(AVERAGEIFS(Responses!$BW$2:$BW$500,Responses!$I$2:$I$500,"1-8"),"")</f>
        <v>5.05882352941176</v>
      </c>
      <c r="F226" s="22" t="n">
        <f aca="false">IFERROR(AVERAGEIFS(Responses!$BL$2:$BL$500,Responses!$I$2:$I$500,"1-8"),"")</f>
        <v>3.73529411764706</v>
      </c>
    </row>
    <row r="227" customFormat="false" ht="15" hidden="false" customHeight="false" outlineLevel="0" collapsed="false">
      <c r="B227" s="8" t="s">
        <v>363</v>
      </c>
      <c r="C227" s="20" t="n">
        <f aca="false">COUNTIF(Responses!$I$2:$I$500,"9-16")</f>
        <v>31</v>
      </c>
      <c r="D227" s="21" t="n">
        <f aca="false">IFERROR(COUNTIFS(Responses!$AS$2:$AS$500,1,Responses!$I$2:$I$500,"9-16")/C227,"")</f>
        <v>0.129032258064516</v>
      </c>
      <c r="E227" s="22" t="n">
        <f aca="false">IFERROR(AVERAGEIFS(Responses!$BW$2:$BW$500,Responses!$I$2:$I$500,"9-16"),"")</f>
        <v>4.70967741935484</v>
      </c>
      <c r="F227" s="22" t="n">
        <f aca="false">IFERROR(AVERAGEIFS(Responses!$BL$2:$BL$500,Responses!$I$2:$I$500,"9-16"),"")</f>
        <v>3.93548387096774</v>
      </c>
    </row>
    <row r="228" customFormat="false" ht="15" hidden="false" customHeight="false" outlineLevel="0" collapsed="false">
      <c r="B228" s="8" t="s">
        <v>366</v>
      </c>
      <c r="C228" s="20" t="n">
        <f aca="false">COUNTIF(Responses!$I$2:$I$500,"17-24")</f>
        <v>15</v>
      </c>
      <c r="D228" s="21" t="n">
        <f aca="false">IFERROR(COUNTIFS(Responses!$AS$2:$AS$500,1,Responses!$I$2:$I$500,"17-24")/C228,"")</f>
        <v>0.266666666666667</v>
      </c>
      <c r="E228" s="22" t="n">
        <f aca="false">IFERROR(AVERAGEIFS(Responses!$BW$2:$BW$500,Responses!$I$2:$I$500,"17-24"),"")</f>
        <v>4.06666666666667</v>
      </c>
      <c r="F228" s="22" t="n">
        <f aca="false">IFERROR(AVERAGEIFS(Responses!$BL$2:$BL$500,Responses!$I$2:$I$500,"17-24"),"")</f>
        <v>3.46666666666667</v>
      </c>
    </row>
    <row r="229" customFormat="false" ht="15" hidden="false" customHeight="false" outlineLevel="0" collapsed="false">
      <c r="B229" s="8" t="s">
        <v>369</v>
      </c>
      <c r="C229" s="20" t="n">
        <f aca="false">COUNTIF(Responses!$I$2:$I$500,"25+")</f>
        <v>10</v>
      </c>
      <c r="D229" s="21" t="n">
        <f aca="false">IFERROR(COUNTIFS(Responses!$AS$2:$AS$500,1,Responses!$I$2:$I$500,"25+")/C229,"")</f>
        <v>0.2</v>
      </c>
      <c r="E229" s="22" t="n">
        <f aca="false">IFERROR(AVERAGEIFS(Responses!$BW$2:$BW$500,Responses!$I$2:$I$500,"25+"),"")</f>
        <v>3.3</v>
      </c>
      <c r="F229" s="22" t="n">
        <f aca="false">IFERROR(AVERAGEIFS(Responses!$BL$2:$BL$500,Responses!$I$2:$I$500,"25+"),"")</f>
        <v>3.2</v>
      </c>
    </row>
    <row r="231" customFormat="false" ht="19.5" hidden="false" customHeight="true" outlineLevel="0" collapsed="false">
      <c r="A231" s="3" t="s">
        <v>1150</v>
      </c>
      <c r="B231" s="4"/>
      <c r="C231" s="4"/>
      <c r="D231" s="4"/>
      <c r="E231" s="4"/>
      <c r="F231" s="4"/>
      <c r="G231" s="4"/>
      <c r="H231" s="4"/>
      <c r="I231" s="4"/>
      <c r="J231" s="4"/>
      <c r="K231" s="4"/>
      <c r="L231" s="4"/>
      <c r="M231" s="4"/>
      <c r="N231" s="4"/>
      <c r="O231" s="4"/>
    </row>
    <row r="232" customFormat="false" ht="15" hidden="false" customHeight="false" outlineLevel="0" collapsed="false">
      <c r="B232" s="19" t="s">
        <v>1102</v>
      </c>
      <c r="C232" s="19" t="s">
        <v>185</v>
      </c>
      <c r="D232" s="19" t="s">
        <v>192</v>
      </c>
      <c r="E232" s="19" t="s">
        <v>197</v>
      </c>
      <c r="F232" s="19" t="s">
        <v>201</v>
      </c>
      <c r="G232" s="19" t="s">
        <v>205</v>
      </c>
      <c r="H232" s="19" t="s">
        <v>209</v>
      </c>
      <c r="I232" s="19" t="s">
        <v>213</v>
      </c>
      <c r="J232" s="19" t="s">
        <v>217</v>
      </c>
      <c r="K232" s="19" t="s">
        <v>221</v>
      </c>
      <c r="L232" s="19" t="s">
        <v>225</v>
      </c>
      <c r="M232" s="19" t="s">
        <v>229</v>
      </c>
      <c r="N232" s="19" t="s">
        <v>234</v>
      </c>
    </row>
    <row r="233" customFormat="false" ht="15" hidden="false" customHeight="false" outlineLevel="0" collapsed="false">
      <c r="B233" s="8" t="s">
        <v>1151</v>
      </c>
      <c r="C233" s="22" t="n">
        <v>1</v>
      </c>
      <c r="D233" s="22" t="n">
        <f aca="false">CORREL(Responses!$BB$2:$BB$500,Responses!$BC$2:$BC$500)</f>
        <v>-0.814375658389609</v>
      </c>
      <c r="E233" s="22" t="n">
        <f aca="false">CORREL(Responses!$BB$2:$BB$500,Responses!$BD$2:$BD$500)</f>
        <v>0.0432872518648955</v>
      </c>
      <c r="F233" s="22" t="n">
        <f aca="false">CORREL(Responses!$BB$2:$BB$500,Responses!$BE$2:$BE$500)</f>
        <v>0.197048283969806</v>
      </c>
      <c r="G233" s="22" t="n">
        <f aca="false">CORREL(Responses!$BB$2:$BB$500,Responses!$BF$2:$BF$500)</f>
        <v>-0.207621783048509</v>
      </c>
      <c r="H233" s="22" t="n">
        <f aca="false">CORREL(Responses!$BB$2:$BB$500,Responses!$BG$2:$BG$500)</f>
        <v>0.173830926176445</v>
      </c>
      <c r="I233" s="22" t="n">
        <f aca="false">CORREL(Responses!$BB$2:$BB$500,Responses!$BH$2:$BH$500)</f>
        <v>0.0966077077183887</v>
      </c>
      <c r="J233" s="22" t="n">
        <f aca="false">CORREL(Responses!$BB$2:$BB$500,Responses!$BI$2:$BI$500)</f>
        <v>0.105701657695844</v>
      </c>
      <c r="K233" s="22" t="n">
        <f aca="false">CORREL(Responses!$BB$2:$BB$500,Responses!$BJ$2:$BJ$500)</f>
        <v>0.232855290642987</v>
      </c>
      <c r="L233" s="22" t="n">
        <f aca="false">CORREL(Responses!$BB$2:$BB$500,Responses!$BK$2:$BK$500)</f>
        <v>0.0211671262718349</v>
      </c>
      <c r="M233" s="22" t="n">
        <f aca="false">CORREL(Responses!$BB$2:$BB$500,Responses!$BL$2:$BL$500)</f>
        <v>0.461721424287793</v>
      </c>
      <c r="N233" s="22" t="n">
        <f aca="false">CORREL(Responses!$BB$2:$BB$500,Responses!$BM$2:$BM$500)</f>
        <v>0.101487085163279</v>
      </c>
    </row>
    <row r="234" customFormat="false" ht="15" hidden="false" customHeight="false" outlineLevel="0" collapsed="false">
      <c r="B234" s="8" t="s">
        <v>1152</v>
      </c>
      <c r="C234" s="22" t="n">
        <f aca="false">CORREL(Responses!$BC$2:$BC$500,Responses!$BB$2:$BB$500)</f>
        <v>-0.814375658389609</v>
      </c>
      <c r="D234" s="22" t="n">
        <v>1</v>
      </c>
      <c r="E234" s="22" t="n">
        <f aca="false">CORREL(Responses!$BC$2:$BC$500,Responses!$BD$2:$BD$500)</f>
        <v>-0.0591270628228531</v>
      </c>
      <c r="F234" s="22" t="n">
        <f aca="false">CORREL(Responses!$BC$2:$BC$500,Responses!$BE$2:$BE$500)</f>
        <v>-0.094396583394555</v>
      </c>
      <c r="G234" s="22" t="n">
        <f aca="false">CORREL(Responses!$BC$2:$BC$500,Responses!$BF$2:$BF$500)</f>
        <v>0.179997494781941</v>
      </c>
      <c r="H234" s="22" t="n">
        <f aca="false">CORREL(Responses!$BC$2:$BC$500,Responses!$BG$2:$BG$500)</f>
        <v>-0.111589676648331</v>
      </c>
      <c r="I234" s="22" t="n">
        <f aca="false">CORREL(Responses!$BC$2:$BC$500,Responses!$BH$2:$BH$500)</f>
        <v>-0.0864667664745805</v>
      </c>
      <c r="J234" s="22" t="n">
        <f aca="false">CORREL(Responses!$BC$2:$BC$500,Responses!$BI$2:$BI$500)</f>
        <v>-0.126868359598434</v>
      </c>
      <c r="K234" s="22" t="n">
        <f aca="false">CORREL(Responses!$BC$2:$BC$500,Responses!$BJ$2:$BJ$500)</f>
        <v>-0.220535238211175</v>
      </c>
      <c r="L234" s="22" t="n">
        <f aca="false">CORREL(Responses!$BC$2:$BC$500,Responses!$BK$2:$BK$500)</f>
        <v>-0.0255125193542541</v>
      </c>
      <c r="M234" s="22" t="n">
        <f aca="false">CORREL(Responses!$BC$2:$BC$500,Responses!$BL$2:$BL$500)</f>
        <v>-0.34000702909875</v>
      </c>
      <c r="N234" s="22" t="n">
        <f aca="false">CORREL(Responses!$BC$2:$BC$500,Responses!$BM$2:$BM$500)</f>
        <v>-0.0476321181203581</v>
      </c>
    </row>
    <row r="235" customFormat="false" ht="15" hidden="false" customHeight="false" outlineLevel="0" collapsed="false">
      <c r="B235" s="8" t="s">
        <v>1153</v>
      </c>
      <c r="C235" s="22" t="n">
        <f aca="false">CORREL(Responses!$BD$2:$BD$500,Responses!$BB$2:$BB$500)</f>
        <v>0.0432872518648955</v>
      </c>
      <c r="D235" s="22" t="n">
        <f aca="false">CORREL(Responses!$BD$2:$BD$500,Responses!$BC$2:$BC$500)</f>
        <v>-0.0591270628228531</v>
      </c>
      <c r="E235" s="22" t="n">
        <v>1</v>
      </c>
      <c r="F235" s="22" t="n">
        <f aca="false">CORREL(Responses!$BD$2:$BD$500,Responses!$BE$2:$BE$500)</f>
        <v>-0.0249528682404005</v>
      </c>
      <c r="G235" s="22" t="n">
        <f aca="false">CORREL(Responses!$BD$2:$BD$500,Responses!$BF$2:$BF$500)</f>
        <v>-0.164376458207755</v>
      </c>
      <c r="H235" s="22" t="n">
        <f aca="false">CORREL(Responses!$BD$2:$BD$500,Responses!$BG$2:$BG$500)</f>
        <v>-0.00496143513979798</v>
      </c>
      <c r="I235" s="22" t="n">
        <f aca="false">CORREL(Responses!$BD$2:$BD$500,Responses!$BH$2:$BH$500)</f>
        <v>0.061749844408564</v>
      </c>
      <c r="J235" s="22" t="n">
        <f aca="false">CORREL(Responses!$BD$2:$BD$500,Responses!$BI$2:$BI$500)</f>
        <v>0.287327066779087</v>
      </c>
      <c r="K235" s="22" t="n">
        <f aca="false">CORREL(Responses!$BD$2:$BD$500,Responses!$BJ$2:$BJ$500)</f>
        <v>0.233217320511649</v>
      </c>
      <c r="L235" s="22" t="n">
        <f aca="false">CORREL(Responses!$BD$2:$BD$500,Responses!$BK$2:$BK$500)</f>
        <v>0.14914771637158</v>
      </c>
      <c r="M235" s="22" t="n">
        <f aca="false">CORREL(Responses!$BD$2:$BD$500,Responses!$BL$2:$BL$500)</f>
        <v>0.239505570927396</v>
      </c>
      <c r="N235" s="22" t="n">
        <f aca="false">CORREL(Responses!$BD$2:$BD$500,Responses!$BM$2:$BM$500)</f>
        <v>0.33271230126058</v>
      </c>
    </row>
    <row r="236" customFormat="false" ht="15" hidden="false" customHeight="false" outlineLevel="0" collapsed="false">
      <c r="B236" s="8" t="s">
        <v>1154</v>
      </c>
      <c r="C236" s="22" t="n">
        <f aca="false">CORREL(Responses!$BE$2:$BE$500,Responses!$BB$2:$BB$500)</f>
        <v>0.197048283969806</v>
      </c>
      <c r="D236" s="22" t="n">
        <f aca="false">CORREL(Responses!$BE$2:$BE$500,Responses!$BC$2:$BC$500)</f>
        <v>-0.094396583394555</v>
      </c>
      <c r="E236" s="22" t="n">
        <f aca="false">CORREL(Responses!$BE$2:$BE$500,Responses!$BD$2:$BD$500)</f>
        <v>-0.0249528682404005</v>
      </c>
      <c r="F236" s="22" t="n">
        <v>1</v>
      </c>
      <c r="G236" s="22" t="n">
        <f aca="false">CORREL(Responses!$BE$2:$BE$500,Responses!$BF$2:$BF$500)</f>
        <v>-0.111638339679574</v>
      </c>
      <c r="H236" s="22" t="n">
        <f aca="false">CORREL(Responses!$BE$2:$BE$500,Responses!$BG$2:$BG$500)</f>
        <v>0.0935874269580618</v>
      </c>
      <c r="I236" s="22" t="n">
        <f aca="false">CORREL(Responses!$BE$2:$BE$500,Responses!$BH$2:$BH$500)</f>
        <v>-0.0325303033386163</v>
      </c>
      <c r="J236" s="22" t="n">
        <f aca="false">CORREL(Responses!$BE$2:$BE$500,Responses!$BI$2:$BI$500)</f>
        <v>-0.00589260986597608</v>
      </c>
      <c r="K236" s="22" t="n">
        <f aca="false">CORREL(Responses!$BE$2:$BE$500,Responses!$BJ$2:$BJ$500)</f>
        <v>0.0985853794940065</v>
      </c>
      <c r="L236" s="22" t="n">
        <f aca="false">CORREL(Responses!$BE$2:$BE$500,Responses!$BK$2:$BK$500)</f>
        <v>-0.190171841225119</v>
      </c>
      <c r="M236" s="22" t="n">
        <f aca="false">CORREL(Responses!$BE$2:$BE$500,Responses!$BL$2:$BL$500)</f>
        <v>-0.0329820232546084</v>
      </c>
      <c r="N236" s="22" t="n">
        <f aca="false">CORREL(Responses!$BE$2:$BE$500,Responses!$BM$2:$BM$500)</f>
        <v>0.0493713338407766</v>
      </c>
    </row>
    <row r="237" customFormat="false" ht="23.85" hidden="false" customHeight="false" outlineLevel="0" collapsed="false">
      <c r="B237" s="8" t="s">
        <v>1155</v>
      </c>
      <c r="C237" s="22" t="n">
        <f aca="false">CORREL(Responses!$BF$2:$BF$500,Responses!$BB$2:$BB$500)</f>
        <v>-0.207621783048509</v>
      </c>
      <c r="D237" s="22" t="n">
        <f aca="false">CORREL(Responses!$BF$2:$BF$500,Responses!$BC$2:$BC$500)</f>
        <v>0.179997494781941</v>
      </c>
      <c r="E237" s="22" t="n">
        <f aca="false">CORREL(Responses!$BF$2:$BF$500,Responses!$BD$2:$BD$500)</f>
        <v>-0.164376458207755</v>
      </c>
      <c r="F237" s="22" t="n">
        <f aca="false">CORREL(Responses!$BF$2:$BF$500,Responses!$BE$2:$BE$500)</f>
        <v>-0.111638339679574</v>
      </c>
      <c r="G237" s="22" t="n">
        <v>1</v>
      </c>
      <c r="H237" s="22" t="n">
        <f aca="false">CORREL(Responses!$BF$2:$BF$500,Responses!$BG$2:$BG$500)</f>
        <v>-0.0814225624353781</v>
      </c>
      <c r="I237" s="22" t="n">
        <f aca="false">CORREL(Responses!$BF$2:$BF$500,Responses!$BH$2:$BH$500)</f>
        <v>0.0647434643632553</v>
      </c>
      <c r="J237" s="22" t="n">
        <f aca="false">CORREL(Responses!$BF$2:$BF$500,Responses!$BI$2:$BI$500)</f>
        <v>-0.112819938031993</v>
      </c>
      <c r="K237" s="22" t="n">
        <f aca="false">CORREL(Responses!$BF$2:$BF$500,Responses!$BJ$2:$BJ$500)</f>
        <v>-0.0174451004836039</v>
      </c>
      <c r="L237" s="22" t="n">
        <f aca="false">CORREL(Responses!$BF$2:$BF$500,Responses!$BK$2:$BK$500)</f>
        <v>-0.155857286629451</v>
      </c>
      <c r="M237" s="22" t="n">
        <f aca="false">CORREL(Responses!$BF$2:$BF$500,Responses!$BL$2:$BL$500)</f>
        <v>-0.182430482329376</v>
      </c>
      <c r="N237" s="22" t="n">
        <f aca="false">CORREL(Responses!$BF$2:$BF$500,Responses!$BM$2:$BM$500)</f>
        <v>-0.0688661236250659</v>
      </c>
    </row>
    <row r="238" customFormat="false" ht="23.85" hidden="false" customHeight="false" outlineLevel="0" collapsed="false">
      <c r="B238" s="8" t="s">
        <v>1156</v>
      </c>
      <c r="C238" s="22" t="n">
        <f aca="false">CORREL(Responses!$BG$2:$BG$500,Responses!$BB$2:$BB$500)</f>
        <v>0.173830926176445</v>
      </c>
      <c r="D238" s="22" t="n">
        <f aca="false">CORREL(Responses!$BG$2:$BG$500,Responses!$BC$2:$BC$500)</f>
        <v>-0.111589676648331</v>
      </c>
      <c r="E238" s="22" t="n">
        <f aca="false">CORREL(Responses!$BG$2:$BG$500,Responses!$BD$2:$BD$500)</f>
        <v>-0.00496143513979798</v>
      </c>
      <c r="F238" s="22" t="n">
        <f aca="false">CORREL(Responses!$BG$2:$BG$500,Responses!$BE$2:$BE$500)</f>
        <v>0.0935874269580618</v>
      </c>
      <c r="G238" s="22" t="n">
        <f aca="false">CORREL(Responses!$BG$2:$BG$500,Responses!$BF$2:$BF$500)</f>
        <v>-0.0814225624353781</v>
      </c>
      <c r="H238" s="22" t="n">
        <v>1</v>
      </c>
      <c r="I238" s="22" t="n">
        <f aca="false">CORREL(Responses!$BG$2:$BG$500,Responses!$BH$2:$BH$500)</f>
        <v>0.0471742282612285</v>
      </c>
      <c r="J238" s="22" t="n">
        <f aca="false">CORREL(Responses!$BG$2:$BG$500,Responses!$BI$2:$BI$500)</f>
        <v>-0.0598904464836544</v>
      </c>
      <c r="K238" s="22" t="n">
        <f aca="false">CORREL(Responses!$BG$2:$BG$500,Responses!$BJ$2:$BJ$500)</f>
        <v>0.142925914614711</v>
      </c>
      <c r="L238" s="22" t="n">
        <f aca="false">CORREL(Responses!$BG$2:$BG$500,Responses!$BK$2:$BK$500)</f>
        <v>-0.0155898874060807</v>
      </c>
      <c r="M238" s="22" t="n">
        <f aca="false">CORREL(Responses!$BG$2:$BG$500,Responses!$BL$2:$BL$500)</f>
        <v>0.143562002369242</v>
      </c>
      <c r="N238" s="22" t="n">
        <f aca="false">CORREL(Responses!$BG$2:$BG$500,Responses!$BM$2:$BM$500)</f>
        <v>-0.0363364414982493</v>
      </c>
    </row>
    <row r="239" customFormat="false" ht="23.85" hidden="false" customHeight="false" outlineLevel="0" collapsed="false">
      <c r="B239" s="8" t="s">
        <v>1157</v>
      </c>
      <c r="C239" s="22" t="n">
        <f aca="false">CORREL(Responses!$BH$2:$BH$500,Responses!$BB$2:$BB$500)</f>
        <v>0.0966077077183887</v>
      </c>
      <c r="D239" s="22" t="n">
        <f aca="false">CORREL(Responses!$BH$2:$BH$500,Responses!$BC$2:$BC$500)</f>
        <v>-0.0864667664745805</v>
      </c>
      <c r="E239" s="22" t="n">
        <f aca="false">CORREL(Responses!$BH$2:$BH$500,Responses!$BD$2:$BD$500)</f>
        <v>0.061749844408564</v>
      </c>
      <c r="F239" s="22" t="n">
        <f aca="false">CORREL(Responses!$BH$2:$BH$500,Responses!$BE$2:$BE$500)</f>
        <v>-0.0325303033386163</v>
      </c>
      <c r="G239" s="22" t="n">
        <f aca="false">CORREL(Responses!$BH$2:$BH$500,Responses!$BF$2:$BF$500)</f>
        <v>0.0647434643632553</v>
      </c>
      <c r="H239" s="22" t="n">
        <f aca="false">CORREL(Responses!$BH$2:$BH$500,Responses!$BG$2:$BG$500)</f>
        <v>0.0471742282612285</v>
      </c>
      <c r="I239" s="22" t="n">
        <v>1</v>
      </c>
      <c r="J239" s="22" t="n">
        <f aca="false">CORREL(Responses!$BH$2:$BH$500,Responses!$BI$2:$BI$500)</f>
        <v>0.159185183018306</v>
      </c>
      <c r="K239" s="22" t="n">
        <f aca="false">CORREL(Responses!$BH$2:$BH$500,Responses!$BJ$2:$BJ$500)</f>
        <v>0.0885503890245101</v>
      </c>
      <c r="L239" s="22" t="n">
        <f aca="false">CORREL(Responses!$BH$2:$BH$500,Responses!$BK$2:$BK$500)</f>
        <v>0.0110616660580446</v>
      </c>
      <c r="M239" s="22" t="n">
        <f aca="false">CORREL(Responses!$BH$2:$BH$500,Responses!$BL$2:$BL$500)</f>
        <v>-0.0286226182265506</v>
      </c>
      <c r="N239" s="22" t="n">
        <f aca="false">CORREL(Responses!$BH$2:$BH$500,Responses!$BM$2:$BM$500)</f>
        <v>0.10774089574221</v>
      </c>
    </row>
    <row r="240" customFormat="false" ht="23.85" hidden="false" customHeight="false" outlineLevel="0" collapsed="false">
      <c r="B240" s="8" t="s">
        <v>1158</v>
      </c>
      <c r="C240" s="22" t="n">
        <f aca="false">CORREL(Responses!$BI$2:$BI$500,Responses!$BB$2:$BB$500)</f>
        <v>0.105701657695844</v>
      </c>
      <c r="D240" s="22" t="n">
        <f aca="false">CORREL(Responses!$BI$2:$BI$500,Responses!$BC$2:$BC$500)</f>
        <v>-0.126868359598434</v>
      </c>
      <c r="E240" s="22" t="n">
        <f aca="false">CORREL(Responses!$BI$2:$BI$500,Responses!$BD$2:$BD$500)</f>
        <v>0.287327066779087</v>
      </c>
      <c r="F240" s="22" t="n">
        <f aca="false">CORREL(Responses!$BI$2:$BI$500,Responses!$BE$2:$BE$500)</f>
        <v>-0.00589260986597608</v>
      </c>
      <c r="G240" s="22" t="n">
        <f aca="false">CORREL(Responses!$BI$2:$BI$500,Responses!$BF$2:$BF$500)</f>
        <v>-0.112819938031993</v>
      </c>
      <c r="H240" s="22" t="n">
        <f aca="false">CORREL(Responses!$BI$2:$BI$500,Responses!$BG$2:$BG$500)</f>
        <v>-0.0598904464836544</v>
      </c>
      <c r="I240" s="22" t="n">
        <f aca="false">CORREL(Responses!$BI$2:$BI$500,Responses!$BH$2:$BH$500)</f>
        <v>0.159185183018306</v>
      </c>
      <c r="J240" s="22" t="n">
        <v>1</v>
      </c>
      <c r="K240" s="22" t="n">
        <f aca="false">CORREL(Responses!$BI$2:$BI$500,Responses!$BJ$2:$BJ$500)</f>
        <v>0.387982327696288</v>
      </c>
      <c r="L240" s="22" t="n">
        <f aca="false">CORREL(Responses!$BI$2:$BI$500,Responses!$BK$2:$BK$500)</f>
        <v>0.0935200309367049</v>
      </c>
      <c r="M240" s="22" t="n">
        <f aca="false">CORREL(Responses!$BI$2:$BI$500,Responses!$BL$2:$BL$500)</f>
        <v>0.432099269389692</v>
      </c>
      <c r="N240" s="22" t="n">
        <f aca="false">CORREL(Responses!$BI$2:$BI$500,Responses!$BM$2:$BM$500)</f>
        <v>0.5000328588415</v>
      </c>
    </row>
    <row r="241" customFormat="false" ht="23.85" hidden="false" customHeight="false" outlineLevel="0" collapsed="false">
      <c r="B241" s="8" t="s">
        <v>1159</v>
      </c>
      <c r="C241" s="22" t="n">
        <f aca="false">CORREL(Responses!$BJ$2:$BJ$500,Responses!$BB$2:$BB$500)</f>
        <v>0.232855290642987</v>
      </c>
      <c r="D241" s="22" t="n">
        <f aca="false">CORREL(Responses!$BJ$2:$BJ$500,Responses!$BC$2:$BC$500)</f>
        <v>-0.220535238211175</v>
      </c>
      <c r="E241" s="22" t="n">
        <f aca="false">CORREL(Responses!$BJ$2:$BJ$500,Responses!$BD$2:$BD$500)</f>
        <v>0.233217320511649</v>
      </c>
      <c r="F241" s="22" t="n">
        <f aca="false">CORREL(Responses!$BJ$2:$BJ$500,Responses!$BE$2:$BE$500)</f>
        <v>0.0985853794940065</v>
      </c>
      <c r="G241" s="22" t="n">
        <f aca="false">CORREL(Responses!$BJ$2:$BJ$500,Responses!$BF$2:$BF$500)</f>
        <v>-0.0174451004836039</v>
      </c>
      <c r="H241" s="22" t="n">
        <f aca="false">CORREL(Responses!$BJ$2:$BJ$500,Responses!$BG$2:$BG$500)</f>
        <v>0.142925914614711</v>
      </c>
      <c r="I241" s="22" t="n">
        <f aca="false">CORREL(Responses!$BJ$2:$BJ$500,Responses!$BH$2:$BH$500)</f>
        <v>0.0885503890245101</v>
      </c>
      <c r="J241" s="22" t="n">
        <f aca="false">CORREL(Responses!$BJ$2:$BJ$500,Responses!$BI$2:$BI$500)</f>
        <v>0.387982327696288</v>
      </c>
      <c r="K241" s="22" t="n">
        <v>1</v>
      </c>
      <c r="L241" s="22" t="n">
        <f aca="false">CORREL(Responses!$BJ$2:$BJ$500,Responses!$BK$2:$BK$500)</f>
        <v>0.216611486987593</v>
      </c>
      <c r="M241" s="22" t="n">
        <f aca="false">CORREL(Responses!$BJ$2:$BJ$500,Responses!$BL$2:$BL$500)</f>
        <v>0.282392813418049</v>
      </c>
      <c r="N241" s="22" t="n">
        <f aca="false">CORREL(Responses!$BJ$2:$BJ$500,Responses!$BM$2:$BM$500)</f>
        <v>0.338793147872373</v>
      </c>
    </row>
    <row r="242" customFormat="false" ht="15" hidden="false" customHeight="false" outlineLevel="0" collapsed="false">
      <c r="B242" s="8" t="s">
        <v>1160</v>
      </c>
      <c r="C242" s="22" t="n">
        <f aca="false">CORREL(Responses!$BK$2:$BK$500,Responses!$BB$2:$BB$500)</f>
        <v>0.0211671262718349</v>
      </c>
      <c r="D242" s="22" t="n">
        <f aca="false">CORREL(Responses!$BK$2:$BK$500,Responses!$BC$2:$BC$500)</f>
        <v>-0.0255125193542541</v>
      </c>
      <c r="E242" s="22" t="n">
        <f aca="false">CORREL(Responses!$BK$2:$BK$500,Responses!$BD$2:$BD$500)</f>
        <v>0.14914771637158</v>
      </c>
      <c r="F242" s="22" t="n">
        <f aca="false">CORREL(Responses!$BK$2:$BK$500,Responses!$BE$2:$BE$500)</f>
        <v>-0.190171841225119</v>
      </c>
      <c r="G242" s="22" t="n">
        <f aca="false">CORREL(Responses!$BK$2:$BK$500,Responses!$BF$2:$BF$500)</f>
        <v>-0.155857286629451</v>
      </c>
      <c r="H242" s="22" t="n">
        <f aca="false">CORREL(Responses!$BK$2:$BK$500,Responses!$BG$2:$BG$500)</f>
        <v>-0.0155898874060807</v>
      </c>
      <c r="I242" s="22" t="n">
        <f aca="false">CORREL(Responses!$BK$2:$BK$500,Responses!$BH$2:$BH$500)</f>
        <v>0.0110616660580446</v>
      </c>
      <c r="J242" s="22" t="n">
        <f aca="false">CORREL(Responses!$BK$2:$BK$500,Responses!$BI$2:$BI$500)</f>
        <v>0.0935200309367049</v>
      </c>
      <c r="K242" s="22" t="n">
        <f aca="false">CORREL(Responses!$BK$2:$BK$500,Responses!$BJ$2:$BJ$500)</f>
        <v>0.216611486987593</v>
      </c>
      <c r="L242" s="22" t="n">
        <v>1</v>
      </c>
      <c r="M242" s="22" t="n">
        <f aca="false">CORREL(Responses!$BK$2:$BK$500,Responses!$BL$2:$BL$500)</f>
        <v>0.10452466481411</v>
      </c>
      <c r="N242" s="22" t="n">
        <f aca="false">CORREL(Responses!$BK$2:$BK$500,Responses!$BM$2:$BM$500)</f>
        <v>0.1031249455536</v>
      </c>
    </row>
    <row r="243" customFormat="false" ht="15" hidden="false" customHeight="false" outlineLevel="0" collapsed="false">
      <c r="B243" s="8" t="s">
        <v>1161</v>
      </c>
      <c r="C243" s="22" t="n">
        <f aca="false">CORREL(Responses!$BL$2:$BL$500,Responses!$BB$2:$BB$500)</f>
        <v>0.461721424287793</v>
      </c>
      <c r="D243" s="22" t="n">
        <f aca="false">CORREL(Responses!$BL$2:$BL$500,Responses!$BC$2:$BC$500)</f>
        <v>-0.34000702909875</v>
      </c>
      <c r="E243" s="22" t="n">
        <f aca="false">CORREL(Responses!$BL$2:$BL$500,Responses!$BD$2:$BD$500)</f>
        <v>0.239505570927396</v>
      </c>
      <c r="F243" s="22" t="n">
        <f aca="false">CORREL(Responses!$BL$2:$BL$500,Responses!$BE$2:$BE$500)</f>
        <v>-0.0329820232546084</v>
      </c>
      <c r="G243" s="22" t="n">
        <f aca="false">CORREL(Responses!$BL$2:$BL$500,Responses!$BF$2:$BF$500)</f>
        <v>-0.182430482329376</v>
      </c>
      <c r="H243" s="22" t="n">
        <f aca="false">CORREL(Responses!$BL$2:$BL$500,Responses!$BG$2:$BG$500)</f>
        <v>0.143562002369242</v>
      </c>
      <c r="I243" s="22" t="n">
        <f aca="false">CORREL(Responses!$BL$2:$BL$500,Responses!$BH$2:$BH$500)</f>
        <v>-0.0286226182265506</v>
      </c>
      <c r="J243" s="22" t="n">
        <f aca="false">CORREL(Responses!$BL$2:$BL$500,Responses!$BI$2:$BI$500)</f>
        <v>0.432099269389692</v>
      </c>
      <c r="K243" s="22" t="n">
        <f aca="false">CORREL(Responses!$BL$2:$BL$500,Responses!$BJ$2:$BJ$500)</f>
        <v>0.282392813418049</v>
      </c>
      <c r="L243" s="22" t="n">
        <f aca="false">CORREL(Responses!$BL$2:$BL$500,Responses!$BK$2:$BK$500)</f>
        <v>0.10452466481411</v>
      </c>
      <c r="M243" s="22" t="n">
        <v>1</v>
      </c>
      <c r="N243" s="22" t="n">
        <f aca="false">CORREL(Responses!$BL$2:$BL$500,Responses!$BM$2:$BM$500)</f>
        <v>0.195148550865728</v>
      </c>
    </row>
    <row r="244" customFormat="false" ht="15" hidden="false" customHeight="false" outlineLevel="0" collapsed="false">
      <c r="B244" s="8" t="s">
        <v>1162</v>
      </c>
      <c r="C244" s="22" t="n">
        <f aca="false">CORREL(Responses!$BM$2:$BM$500,Responses!$BB$2:$BB$500)</f>
        <v>0.101487085163279</v>
      </c>
      <c r="D244" s="22" t="n">
        <f aca="false">CORREL(Responses!$BM$2:$BM$500,Responses!$BC$2:$BC$500)</f>
        <v>-0.0476321181203581</v>
      </c>
      <c r="E244" s="22" t="n">
        <f aca="false">CORREL(Responses!$BM$2:$BM$500,Responses!$BD$2:$BD$500)</f>
        <v>0.33271230126058</v>
      </c>
      <c r="F244" s="22" t="n">
        <f aca="false">CORREL(Responses!$BM$2:$BM$500,Responses!$BE$2:$BE$500)</f>
        <v>0.0493713338407766</v>
      </c>
      <c r="G244" s="22" t="n">
        <f aca="false">CORREL(Responses!$BM$2:$BM$500,Responses!$BF$2:$BF$500)</f>
        <v>-0.0688661236250659</v>
      </c>
      <c r="H244" s="22" t="n">
        <f aca="false">CORREL(Responses!$BM$2:$BM$500,Responses!$BG$2:$BG$500)</f>
        <v>-0.0363364414982493</v>
      </c>
      <c r="I244" s="22" t="n">
        <f aca="false">CORREL(Responses!$BM$2:$BM$500,Responses!$BH$2:$BH$500)</f>
        <v>0.10774089574221</v>
      </c>
      <c r="J244" s="22" t="n">
        <f aca="false">CORREL(Responses!$BM$2:$BM$500,Responses!$BI$2:$BI$500)</f>
        <v>0.5000328588415</v>
      </c>
      <c r="K244" s="22" t="n">
        <f aca="false">CORREL(Responses!$BM$2:$BM$500,Responses!$BJ$2:$BJ$500)</f>
        <v>0.338793147872373</v>
      </c>
      <c r="L244" s="22" t="n">
        <f aca="false">CORREL(Responses!$BM$2:$BM$500,Responses!$BK$2:$BK$500)</f>
        <v>0.1031249455536</v>
      </c>
      <c r="M244" s="22" t="n">
        <f aca="false">CORREL(Responses!$BM$2:$BM$500,Responses!$BL$2:$BL$500)</f>
        <v>0.195148550865728</v>
      </c>
      <c r="N244" s="22" t="n">
        <v>1</v>
      </c>
    </row>
    <row r="245" customFormat="false" ht="22.35" hidden="false" customHeight="false" outlineLevel="0" collapsed="false">
      <c r="B245" s="26" t="s">
        <v>1163</v>
      </c>
    </row>
    <row r="247" customFormat="false" ht="19.5" hidden="false" customHeight="true" outlineLevel="0" collapsed="false">
      <c r="A247" s="3" t="s">
        <v>1164</v>
      </c>
      <c r="B247" s="4"/>
      <c r="C247" s="4"/>
      <c r="D247" s="4"/>
      <c r="E247" s="4"/>
      <c r="F247" s="4"/>
      <c r="G247" s="4"/>
      <c r="H247" s="4"/>
    </row>
    <row r="248" customFormat="false" ht="43.5" hidden="false" customHeight="true" outlineLevel="0" collapsed="false">
      <c r="B248" s="5" t="s">
        <v>1165</v>
      </c>
      <c r="C248" s="5"/>
      <c r="D248" s="5"/>
      <c r="E248" s="5"/>
      <c r="F248" s="5"/>
      <c r="G248" s="5"/>
      <c r="H248" s="5"/>
      <c r="I248" s="5"/>
    </row>
    <row r="249" customFormat="false" ht="43.5" hidden="false" customHeight="true" outlineLevel="0" collapsed="false">
      <c r="B249" s="5" t="s">
        <v>1166</v>
      </c>
      <c r="C249" s="5"/>
      <c r="D249" s="5"/>
      <c r="E249" s="5"/>
      <c r="F249" s="5"/>
      <c r="G249" s="5"/>
      <c r="H249" s="5"/>
      <c r="I249" s="5"/>
    </row>
    <row r="250" customFormat="false" ht="43.5" hidden="false" customHeight="true" outlineLevel="0" collapsed="false">
      <c r="B250" s="5" t="s">
        <v>1167</v>
      </c>
      <c r="C250" s="5"/>
      <c r="D250" s="5"/>
      <c r="E250" s="5"/>
      <c r="F250" s="5"/>
      <c r="G250" s="5"/>
      <c r="H250" s="5"/>
      <c r="I250" s="5"/>
    </row>
    <row r="251" customFormat="false" ht="43.5" hidden="false" customHeight="true" outlineLevel="0" collapsed="false">
      <c r="B251" s="5" t="s">
        <v>1168</v>
      </c>
      <c r="C251" s="5"/>
      <c r="D251" s="5"/>
      <c r="E251" s="5"/>
      <c r="F251" s="5"/>
      <c r="G251" s="5"/>
      <c r="H251" s="5"/>
      <c r="I251" s="5"/>
    </row>
    <row r="252" customFormat="false" ht="43.5" hidden="false" customHeight="true" outlineLevel="0" collapsed="false">
      <c r="B252" s="5" t="s">
        <v>1169</v>
      </c>
      <c r="C252" s="5"/>
      <c r="D252" s="5"/>
      <c r="E252" s="5"/>
      <c r="F252" s="5"/>
      <c r="G252" s="5"/>
      <c r="H252" s="5"/>
      <c r="I252" s="5"/>
    </row>
    <row r="253" customFormat="false" ht="43.5" hidden="false" customHeight="true" outlineLevel="0" collapsed="false">
      <c r="B253" s="5" t="s">
        <v>1170</v>
      </c>
      <c r="C253" s="5"/>
      <c r="D253" s="5"/>
      <c r="E253" s="5"/>
      <c r="F253" s="5"/>
      <c r="G253" s="5"/>
      <c r="H253" s="5"/>
      <c r="I253" s="5"/>
    </row>
    <row r="254" customFormat="false" ht="43.5" hidden="false" customHeight="true" outlineLevel="0" collapsed="false">
      <c r="B254" s="5" t="s">
        <v>1171</v>
      </c>
      <c r="C254" s="5"/>
      <c r="D254" s="5"/>
      <c r="E254" s="5"/>
      <c r="F254" s="5"/>
      <c r="G254" s="5"/>
      <c r="H254" s="5"/>
      <c r="I254" s="5"/>
    </row>
    <row r="255" customFormat="false" ht="43.5" hidden="false" customHeight="true" outlineLevel="0" collapsed="false">
      <c r="B255" s="5" t="s">
        <v>1172</v>
      </c>
      <c r="C255" s="5"/>
      <c r="D255" s="5"/>
      <c r="E255" s="5"/>
      <c r="F255" s="5"/>
      <c r="G255" s="5"/>
      <c r="H255" s="5"/>
      <c r="I255" s="5"/>
    </row>
    <row r="256" customFormat="false" ht="32.8" hidden="false" customHeight="false" outlineLevel="0" collapsed="false">
      <c r="B256" s="26" t="s">
        <v>1173</v>
      </c>
    </row>
  </sheetData>
  <mergeCells count="10">
    <mergeCell ref="B2:H2"/>
    <mergeCell ref="B182:H182"/>
    <mergeCell ref="B248:I248"/>
    <mergeCell ref="B249:I249"/>
    <mergeCell ref="B250:I250"/>
    <mergeCell ref="B251:I251"/>
    <mergeCell ref="B252:I252"/>
    <mergeCell ref="B253:I253"/>
    <mergeCell ref="B254:I254"/>
    <mergeCell ref="B255:I255"/>
  </mergeCells>
  <conditionalFormatting sqref="D163:D172">
    <cfRule type="colorScale" priority="2">
      <colorScale>
        <cfvo type="num" val="1"/>
        <cfvo type="num" val="4"/>
        <cfvo type="num" val="7"/>
        <color rgb="FFF8B4B4"/>
        <color rgb="FFFFFFFF"/>
        <color rgb="FF9FD8B8"/>
      </colorScale>
    </cfRule>
  </conditionalFormatting>
  <conditionalFormatting sqref="D186:D191">
    <cfRule type="colorScale" priority="3">
      <colorScale>
        <cfvo type="min" val="0"/>
        <cfvo type="max" val="0"/>
        <color rgb="FF9FD8B8"/>
        <color rgb="FFFFFFFF"/>
      </colorScale>
    </cfRule>
  </conditionalFormatting>
  <conditionalFormatting sqref="C233:N244">
    <cfRule type="colorScale" priority="4">
      <colorScale>
        <cfvo type="num" val="-1"/>
        <cfvo type="num" val="0"/>
        <cfvo type="num" val="1"/>
        <color rgb="FFF8B4B4"/>
        <color rgb="FFFFFFFF"/>
        <color rgb="FF9FD8B8"/>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6" min="3" style="0" width="30"/>
    <col collapsed="false" customWidth="true" hidden="false" outlineLevel="0" max="8" min="7" style="0" width="15"/>
    <col collapsed="false" customWidth="true" hidden="false" outlineLevel="0" max="9" min="9" style="0" width="13"/>
    <col collapsed="false" customWidth="true" hidden="false" outlineLevel="0" max="10" min="10" style="0" width="4"/>
    <col collapsed="false" customWidth="true" hidden="false" outlineLevel="0" max="13" min="11" style="0" width="12"/>
  </cols>
  <sheetData>
    <row r="1" customFormat="false" ht="17.35" hidden="false" customHeight="false" outlineLevel="0" collapsed="false">
      <c r="B1" s="10" t="s">
        <v>1174</v>
      </c>
    </row>
    <row r="2" customFormat="false" ht="39.75" hidden="false" customHeight="true" outlineLevel="0" collapsed="false">
      <c r="B2" s="11" t="s">
        <v>1175</v>
      </c>
      <c r="C2" s="11"/>
      <c r="D2" s="11"/>
      <c r="E2" s="11"/>
      <c r="F2" s="11"/>
      <c r="G2" s="11"/>
      <c r="H2" s="11"/>
      <c r="I2" s="11"/>
    </row>
    <row r="4" customFormat="false" ht="19.5" hidden="false" customHeight="true" outlineLevel="0" collapsed="false">
      <c r="A4" s="3" t="s">
        <v>1176</v>
      </c>
      <c r="B4" s="4"/>
      <c r="C4" s="4"/>
      <c r="D4" s="4"/>
      <c r="E4" s="4"/>
      <c r="F4" s="4"/>
      <c r="G4" s="4"/>
      <c r="H4" s="4"/>
      <c r="I4" s="4"/>
    </row>
    <row r="5" customFormat="false" ht="15" hidden="false" customHeight="false" outlineLevel="0" collapsed="false">
      <c r="B5" s="19" t="s">
        <v>1177</v>
      </c>
      <c r="C5" s="19" t="s">
        <v>1178</v>
      </c>
      <c r="D5" s="19" t="s">
        <v>1179</v>
      </c>
    </row>
    <row r="6" customFormat="false" ht="15" hidden="false" customHeight="false" outlineLevel="0" collapsed="false">
      <c r="B6" s="20" t="n">
        <v>2</v>
      </c>
      <c r="C6" s="23" t="n">
        <v>2514.9</v>
      </c>
      <c r="D6" s="27" t="n">
        <v>0.146</v>
      </c>
    </row>
    <row r="7" customFormat="false" ht="15" hidden="false" customHeight="false" outlineLevel="0" collapsed="false">
      <c r="B7" s="20" t="n">
        <v>3</v>
      </c>
      <c r="C7" s="23" t="n">
        <v>2247.4</v>
      </c>
      <c r="D7" s="27" t="n">
        <v>0.156</v>
      </c>
    </row>
    <row r="8" customFormat="false" ht="15" hidden="false" customHeight="false" outlineLevel="0" collapsed="false">
      <c r="B8" s="20" t="n">
        <v>4</v>
      </c>
      <c r="C8" s="23" t="n">
        <v>2018.9</v>
      </c>
      <c r="D8" s="27" t="n">
        <v>0.17</v>
      </c>
    </row>
    <row r="9" customFormat="false" ht="15" hidden="false" customHeight="false" outlineLevel="0" collapsed="false">
      <c r="B9" s="20" t="n">
        <v>5</v>
      </c>
      <c r="C9" s="23" t="n">
        <v>1822.4</v>
      </c>
      <c r="D9" s="27" t="n">
        <v>0.18</v>
      </c>
    </row>
    <row r="10" customFormat="false" ht="15" hidden="false" customHeight="false" outlineLevel="0" collapsed="false">
      <c r="B10" s="28" t="n">
        <v>6</v>
      </c>
      <c r="C10" s="23" t="n">
        <v>1716.9</v>
      </c>
      <c r="D10" s="27" t="n">
        <v>0.176</v>
      </c>
    </row>
    <row r="11" customFormat="false" ht="15" hidden="false" customHeight="false" outlineLevel="0" collapsed="false">
      <c r="B11" s="20" t="n">
        <v>7</v>
      </c>
      <c r="C11" s="23" t="n">
        <v>1648</v>
      </c>
      <c r="D11" s="27" t="n">
        <v>0.16</v>
      </c>
    </row>
    <row r="12" customFormat="false" ht="15" hidden="false" customHeight="false" outlineLevel="0" collapsed="false">
      <c r="B12" s="20" t="n">
        <v>8</v>
      </c>
      <c r="C12" s="23" t="n">
        <v>1606.1</v>
      </c>
      <c r="D12" s="27" t="n">
        <v>0.132</v>
      </c>
    </row>
    <row r="13" customFormat="false" ht="39.75" hidden="false" customHeight="true" outlineLevel="0" collapsed="false">
      <c r="B13" s="24" t="s">
        <v>1180</v>
      </c>
      <c r="C13" s="24"/>
      <c r="D13" s="24"/>
      <c r="E13" s="24"/>
      <c r="F13" s="24"/>
      <c r="G13" s="24"/>
      <c r="H13" s="24"/>
      <c r="I13" s="24"/>
    </row>
    <row r="15" customFormat="false" ht="19.5" hidden="false" customHeight="true" outlineLevel="0" collapsed="false">
      <c r="A15" s="3" t="s">
        <v>1181</v>
      </c>
      <c r="B15" s="4"/>
      <c r="C15" s="4"/>
      <c r="D15" s="4"/>
      <c r="E15" s="4"/>
      <c r="F15" s="4"/>
      <c r="G15" s="4"/>
      <c r="H15" s="4"/>
      <c r="I15" s="4"/>
    </row>
    <row r="16" customFormat="false" ht="15" hidden="false" customHeight="false" outlineLevel="0" collapsed="false">
      <c r="B16" s="19" t="s">
        <v>607</v>
      </c>
      <c r="C16" s="19" t="s">
        <v>1137</v>
      </c>
      <c r="D16" s="19" t="s">
        <v>1071</v>
      </c>
      <c r="E16" s="19" t="s">
        <v>1182</v>
      </c>
    </row>
    <row r="17" customFormat="false" ht="30" hidden="false" customHeight="true" outlineLevel="0" collapsed="false">
      <c r="B17" s="7" t="s">
        <v>643</v>
      </c>
      <c r="C17" s="20" t="n">
        <f aca="false">COUNTIF(Responses!$CD$2:$CD$500,"S1 Deadline Sprinters")</f>
        <v>34</v>
      </c>
      <c r="D17" s="21" t="n">
        <f aca="false">C17/'1-Patterns'!$C$4</f>
        <v>0.274193548387097</v>
      </c>
      <c r="E17" s="8" t="s">
        <v>1183</v>
      </c>
      <c r="F17" s="8"/>
      <c r="G17" s="8"/>
      <c r="H17" s="8"/>
      <c r="I17" s="8"/>
    </row>
    <row r="18" customFormat="false" ht="30" hidden="false" customHeight="true" outlineLevel="0" collapsed="false">
      <c r="B18" s="7" t="s">
        <v>620</v>
      </c>
      <c r="C18" s="20" t="n">
        <f aca="false">COUNTIF(Responses!$CD$2:$CD$500,"S2 Structured Scholars")</f>
        <v>29</v>
      </c>
      <c r="D18" s="21" t="n">
        <f aca="false">C18/'1-Patterns'!$C$4</f>
        <v>0.233870967741935</v>
      </c>
      <c r="E18" s="8" t="s">
        <v>1184</v>
      </c>
      <c r="F18" s="8"/>
      <c r="G18" s="8"/>
      <c r="H18" s="8"/>
      <c r="I18" s="8"/>
    </row>
    <row r="19" customFormat="false" ht="30" hidden="false" customHeight="true" outlineLevel="0" collapsed="false">
      <c r="B19" s="7" t="s">
        <v>648</v>
      </c>
      <c r="C19" s="20" t="n">
        <f aca="false">COUNTIF(Responses!$CD$2:$CD$500,"S3 Overloaded Jugglers")</f>
        <v>20</v>
      </c>
      <c r="D19" s="21" t="n">
        <f aca="false">C19/'1-Patterns'!$C$4</f>
        <v>0.161290322580645</v>
      </c>
      <c r="E19" s="8" t="s">
        <v>1185</v>
      </c>
      <c r="F19" s="8"/>
      <c r="G19" s="8"/>
      <c r="H19" s="8"/>
      <c r="I19" s="8"/>
    </row>
    <row r="20" customFormat="false" ht="30" hidden="false" customHeight="true" outlineLevel="0" collapsed="false">
      <c r="B20" s="7" t="s">
        <v>614</v>
      </c>
      <c r="C20" s="20" t="n">
        <f aca="false">COUNTIF(Responses!$CD$2:$CD$500,"S4 Power Instructors")</f>
        <v>17</v>
      </c>
      <c r="D20" s="21" t="n">
        <f aca="false">C20/'1-Patterns'!$C$4</f>
        <v>0.137096774193548</v>
      </c>
      <c r="E20" s="8" t="s">
        <v>1186</v>
      </c>
      <c r="F20" s="8"/>
      <c r="G20" s="8"/>
      <c r="H20" s="8"/>
      <c r="I20" s="8"/>
    </row>
    <row r="21" customFormat="false" ht="30" hidden="false" customHeight="true" outlineLevel="0" collapsed="false">
      <c r="B21" s="7" t="s">
        <v>631</v>
      </c>
      <c r="C21" s="20" t="n">
        <f aca="false">COUNTIF(Responses!$CD$2:$CD$500,"S5 Reluctant Instructors")</f>
        <v>15</v>
      </c>
      <c r="D21" s="21" t="n">
        <f aca="false">C21/'1-Patterns'!$C$4</f>
        <v>0.120967741935484</v>
      </c>
      <c r="E21" s="8" t="s">
        <v>1187</v>
      </c>
      <c r="F21" s="8"/>
      <c r="G21" s="8"/>
      <c r="H21" s="8"/>
      <c r="I21" s="8"/>
    </row>
    <row r="22" customFormat="false" ht="30" hidden="false" customHeight="true" outlineLevel="0" collapsed="false">
      <c r="B22" s="7" t="s">
        <v>671</v>
      </c>
      <c r="C22" s="20" t="n">
        <f aca="false">COUNTIF(Responses!$CD$2:$CD$500,"S6 Access-First Learners")</f>
        <v>9</v>
      </c>
      <c r="D22" s="21" t="n">
        <f aca="false">C22/'1-Patterns'!$C$4</f>
        <v>0.0725806451612903</v>
      </c>
      <c r="E22" s="8" t="s">
        <v>1188</v>
      </c>
      <c r="F22" s="8"/>
      <c r="G22" s="8"/>
      <c r="H22" s="8"/>
      <c r="I22" s="8"/>
    </row>
    <row r="24" customFormat="false" ht="19.5" hidden="false" customHeight="true" outlineLevel="0" collapsed="false">
      <c r="A24" s="3" t="s">
        <v>1189</v>
      </c>
      <c r="B24" s="4"/>
      <c r="C24" s="4"/>
      <c r="D24" s="4"/>
      <c r="E24" s="4"/>
      <c r="F24" s="4"/>
      <c r="G24" s="4"/>
      <c r="H24" s="4"/>
      <c r="I24" s="4"/>
    </row>
    <row r="25" customFormat="false" ht="23.85" hidden="false" customHeight="false" outlineLevel="0" collapsed="false">
      <c r="B25" s="6" t="s">
        <v>1190</v>
      </c>
      <c r="C25" s="6" t="s">
        <v>643</v>
      </c>
      <c r="D25" s="6" t="s">
        <v>620</v>
      </c>
      <c r="E25" s="6" t="s">
        <v>648</v>
      </c>
      <c r="F25" s="6" t="s">
        <v>614</v>
      </c>
      <c r="G25" s="6" t="s">
        <v>631</v>
      </c>
      <c r="H25" s="6" t="s">
        <v>671</v>
      </c>
      <c r="I25" s="6" t="s">
        <v>1191</v>
      </c>
    </row>
    <row r="26" customFormat="false" ht="15" hidden="false" customHeight="false" outlineLevel="0" collapsed="false">
      <c r="B26" s="29" t="s">
        <v>1192</v>
      </c>
      <c r="C26" s="30"/>
      <c r="D26" s="30"/>
      <c r="E26" s="30"/>
      <c r="F26" s="30"/>
      <c r="G26" s="30"/>
      <c r="H26" s="30"/>
      <c r="I26" s="30"/>
    </row>
    <row r="27" customFormat="false" ht="23.85" hidden="false" customHeight="false" outlineLevel="0" collapsed="false">
      <c r="B27" s="8" t="s">
        <v>1193</v>
      </c>
      <c r="C27" s="22" t="n">
        <f aca="false">IFERROR(AVERAGEIFS(Responses!$BW$2:$BW$500,Responses!$CD$2:$CD$500,"S1 Deadline Sprinters"),"")</f>
        <v>5.52941176470588</v>
      </c>
      <c r="D27" s="22" t="n">
        <f aca="false">IFERROR(AVERAGEIFS(Responses!$BW$2:$BW$500,Responses!$CD$2:$CD$500,"S2 Structured Scholars"),"")</f>
        <v>4.68965517241379</v>
      </c>
      <c r="E27" s="22" t="n">
        <f aca="false">IFERROR(AVERAGEIFS(Responses!$BW$2:$BW$500,Responses!$CD$2:$CD$500,"S3 Overloaded Jugglers"),"")</f>
        <v>3.2</v>
      </c>
      <c r="F27" s="22" t="n">
        <f aca="false">IFERROR(AVERAGEIFS(Responses!$BW$2:$BW$500,Responses!$CD$2:$CD$500,"S4 Power Instructors"),"")</f>
        <v>5.82352941176471</v>
      </c>
      <c r="G27" s="22" t="n">
        <f aca="false">IFERROR(AVERAGEIFS(Responses!$BW$2:$BW$500,Responses!$CD$2:$CD$500,"S5 Reluctant Instructors"),"")</f>
        <v>2.06666666666667</v>
      </c>
      <c r="H27" s="22" t="n">
        <f aca="false">IFERROR(AVERAGEIFS(Responses!$BW$2:$BW$500,Responses!$CD$2:$CD$500,"S6 Access-First Learners"),"")</f>
        <v>4.55555555555556</v>
      </c>
      <c r="I27" s="31" t="n">
        <f aca="false">AVERAGE(Responses!$BW$2:$BW$500)</f>
        <v>4.50806451612903</v>
      </c>
    </row>
    <row r="28" customFormat="false" ht="15" hidden="false" customHeight="false" outlineLevel="0" collapsed="false">
      <c r="B28" s="8" t="s">
        <v>1194</v>
      </c>
      <c r="C28" s="21" t="n">
        <f aca="false">IFERROR((COUNTIFS(Responses!$R$2:$R$500,"daily",Responses!$CD$2:$CD$500,"S1 Deadline Sprinters")+COUNTIFS(Responses!$R$2:$R$500,"several",Responses!$CD$2:$CD$500,"S1 Deadline Sprinters"))/'2-Segments'!$C$17,"")</f>
        <v>0.882352941176471</v>
      </c>
      <c r="D28" s="21" t="n">
        <f aca="false">IFERROR((COUNTIFS(Responses!$R$2:$R$500,"daily",Responses!$CD$2:$CD$500,"S2 Structured Scholars")+COUNTIFS(Responses!$R$2:$R$500,"several",Responses!$CD$2:$CD$500,"S2 Structured Scholars"))/'2-Segments'!$C$18,"")</f>
        <v>0.586206896551724</v>
      </c>
      <c r="E28" s="21" t="n">
        <f aca="false">IFERROR((COUNTIFS(Responses!$R$2:$R$500,"daily",Responses!$CD$2:$CD$500,"S3 Overloaded Jugglers")+COUNTIFS(Responses!$R$2:$R$500,"several",Responses!$CD$2:$CD$500,"S3 Overloaded Jugglers"))/'2-Segments'!$C$19,"")</f>
        <v>0.1</v>
      </c>
      <c r="F28" s="21" t="n">
        <f aca="false">IFERROR((COUNTIFS(Responses!$R$2:$R$500,"daily",Responses!$CD$2:$CD$500,"S4 Power Instructors")+COUNTIFS(Responses!$R$2:$R$500,"several",Responses!$CD$2:$CD$500,"S4 Power Instructors"))/'2-Segments'!$C$20,"")</f>
        <v>1</v>
      </c>
      <c r="G28" s="21" t="n">
        <f aca="false">IFERROR((COUNTIFS(Responses!$R$2:$R$500,"daily",Responses!$CD$2:$CD$500,"S5 Reluctant Instructors")+COUNTIFS(Responses!$R$2:$R$500,"several",Responses!$CD$2:$CD$500,"S5 Reluctant Instructors"))/'2-Segments'!$C$21,"")</f>
        <v>0</v>
      </c>
      <c r="H28" s="21" t="n">
        <f aca="false">IFERROR((COUNTIFS(Responses!$R$2:$R$500,"daily",Responses!$CD$2:$CD$500,"S6 Access-First Learners")+COUNTIFS(Responses!$R$2:$R$500,"several",Responses!$CD$2:$CD$500,"S6 Access-First Learners"))/'2-Segments'!$C$22,"")</f>
        <v>0.555555555555556</v>
      </c>
      <c r="I28" s="32" t="n">
        <f aca="false">(COUNTIF(Responses!$R$2:$R$500,"daily")+COUNTIF(Responses!$R$2:$R$500,"several"))/'1-Patterns'!$C$4</f>
        <v>0.57258064516129</v>
      </c>
    </row>
    <row r="29" customFormat="false" ht="15" hidden="false" customHeight="false" outlineLevel="0" collapsed="false">
      <c r="B29" s="8" t="s">
        <v>1195</v>
      </c>
      <c r="C29" s="22" t="n">
        <f aca="false">IFERROR(AVERAGEIFS(Responses!$BX$2:$BX$500,Responses!$CD$2:$CD$500,"S1 Deadline Sprinters"),"")</f>
        <v>1.55882352941176</v>
      </c>
      <c r="D29" s="22" t="n">
        <f aca="false">IFERROR(AVERAGEIFS(Responses!$BX$2:$BX$500,Responses!$CD$2:$CD$500,"S2 Structured Scholars"),"")</f>
        <v>3.89655172413793</v>
      </c>
      <c r="E29" s="22" t="n">
        <f aca="false">IFERROR(AVERAGEIFS(Responses!$BX$2:$BX$500,Responses!$CD$2:$CD$500,"S3 Overloaded Jugglers"),"")</f>
        <v>3.05</v>
      </c>
      <c r="F29" s="22" t="n">
        <f aca="false">IFERROR(AVERAGEIFS(Responses!$BX$2:$BX$500,Responses!$CD$2:$CD$500,"S4 Power Instructors"),"")</f>
        <v>4.70588235294118</v>
      </c>
      <c r="G29" s="22" t="n">
        <f aca="false">IFERROR(AVERAGEIFS(Responses!$BX$2:$BX$500,Responses!$CD$2:$CD$500,"S5 Reluctant Instructors"),"")</f>
        <v>3</v>
      </c>
      <c r="H29" s="22" t="n">
        <f aca="false">IFERROR(AVERAGEIFS(Responses!$BX$2:$BX$500,Responses!$CD$2:$CD$500,"S6 Access-First Learners"),"")</f>
        <v>4.77777777777778</v>
      </c>
      <c r="I29" s="31" t="n">
        <f aca="false">AVERAGE(Responses!$BX$2:$BX$500)</f>
        <v>3.18548387096774</v>
      </c>
    </row>
    <row r="30" customFormat="false" ht="15" hidden="false" customHeight="false" outlineLevel="0" collapsed="false">
      <c r="B30" s="8" t="s">
        <v>1196</v>
      </c>
      <c r="C30" s="21" t="n">
        <f aca="false">IFERROR(COUNTIFS(Responses!$X$2:$X$500,"phone",Responses!$CD$2:$CD$500,"S1 Deadline Sprinters")/'2-Segments'!$C$17,"")</f>
        <v>0.794117647058824</v>
      </c>
      <c r="D30" s="21" t="n">
        <f aca="false">IFERROR(COUNTIFS(Responses!$X$2:$X$500,"phone",Responses!$CD$2:$CD$500,"S2 Structured Scholars")/'2-Segments'!$C$18,"")</f>
        <v>0</v>
      </c>
      <c r="E30" s="21" t="n">
        <f aca="false">IFERROR(COUNTIFS(Responses!$X$2:$X$500,"phone",Responses!$CD$2:$CD$500,"S3 Overloaded Jugglers")/'2-Segments'!$C$19,"")</f>
        <v>0.25</v>
      </c>
      <c r="F30" s="21" t="n">
        <f aca="false">IFERROR(COUNTIFS(Responses!$X$2:$X$500,"phone",Responses!$CD$2:$CD$500,"S4 Power Instructors")/'2-Segments'!$C$20,"")</f>
        <v>0</v>
      </c>
      <c r="G30" s="21" t="n">
        <f aca="false">IFERROR(COUNTIFS(Responses!$X$2:$X$500,"phone",Responses!$CD$2:$CD$500,"S5 Reluctant Instructors")/'2-Segments'!$C$21,"")</f>
        <v>0</v>
      </c>
      <c r="H30" s="21" t="n">
        <f aca="false">IFERROR(COUNTIFS(Responses!$X$2:$X$500,"phone",Responses!$CD$2:$CD$500,"S6 Access-First Learners")/'2-Segments'!$C$22,"")</f>
        <v>0</v>
      </c>
      <c r="I30" s="32" t="n">
        <f aca="false">COUNTIF(Responses!$X$2:$X$500,"phone")/'1-Patterns'!$C$4</f>
        <v>0.258064516129032</v>
      </c>
    </row>
    <row r="31" customFormat="false" ht="15" hidden="false" customHeight="false" outlineLevel="0" collapsed="false">
      <c r="B31" s="8" t="s">
        <v>1197</v>
      </c>
      <c r="C31" s="21" t="n">
        <f aca="false">IFERROR(COUNTIFS(Responses!$V$2:$V$500,1,Responses!$CD$2:$CD$500,"S1 Deadline Sprinters")/'2-Segments'!$C$17,"")</f>
        <v>0.911764705882353</v>
      </c>
      <c r="D31" s="21" t="n">
        <f aca="false">IFERROR(COUNTIFS(Responses!$V$2:$V$500,1,Responses!$CD$2:$CD$500,"S2 Structured Scholars")/'2-Segments'!$C$18,"")</f>
        <v>0.379310344827586</v>
      </c>
      <c r="E31" s="21" t="n">
        <f aca="false">IFERROR(COUNTIFS(Responses!$V$2:$V$500,1,Responses!$CD$2:$CD$500,"S3 Overloaded Jugglers")/'2-Segments'!$C$19,"")</f>
        <v>0.35</v>
      </c>
      <c r="F31" s="21" t="n">
        <f aca="false">IFERROR(COUNTIFS(Responses!$V$2:$V$500,1,Responses!$CD$2:$CD$500,"S4 Power Instructors")/'2-Segments'!$C$20,"")</f>
        <v>0.235294117647059</v>
      </c>
      <c r="G31" s="21" t="n">
        <f aca="false">IFERROR(COUNTIFS(Responses!$V$2:$V$500,1,Responses!$CD$2:$CD$500,"S5 Reluctant Instructors")/'2-Segments'!$C$21,"")</f>
        <v>0</v>
      </c>
      <c r="H31" s="21" t="n">
        <f aca="false">IFERROR(COUNTIFS(Responses!$V$2:$V$500,1,Responses!$CD$2:$CD$500,"S6 Access-First Learners")/'2-Segments'!$C$22,"")</f>
        <v>0.333333333333333</v>
      </c>
      <c r="I31" s="32" t="n">
        <f aca="false">COUNTIF(Responses!$V$2:$V$500,1)/'1-Patterns'!$C$4</f>
        <v>0.451612903225806</v>
      </c>
    </row>
    <row r="32" customFormat="false" ht="15" hidden="false" customHeight="false" outlineLevel="0" collapsed="false">
      <c r="B32" s="8" t="s">
        <v>1198</v>
      </c>
      <c r="C32" s="22" t="n">
        <f aca="false">IFERROR(AVERAGEIFS(Responses!$Q$2:$Q$500,Responses!$CD$2:$CD$500,"S1 Deadline Sprinters"),"")</f>
        <v>5.26470588235294</v>
      </c>
      <c r="D32" s="22" t="n">
        <f aca="false">IFERROR(AVERAGEIFS(Responses!$Q$2:$Q$500,Responses!$CD$2:$CD$500,"S2 Structured Scholars"),"")</f>
        <v>5.82758620689655</v>
      </c>
      <c r="E32" s="22" t="n">
        <f aca="false">IFERROR(AVERAGEIFS(Responses!$Q$2:$Q$500,Responses!$CD$2:$CD$500,"S3 Overloaded Jugglers"),"")</f>
        <v>4.65</v>
      </c>
      <c r="F32" s="22" t="n">
        <f aca="false">IFERROR(AVERAGEIFS(Responses!$Q$2:$Q$500,Responses!$CD$2:$CD$500,"S4 Power Instructors"),"")</f>
        <v>5.23529411764706</v>
      </c>
      <c r="G32" s="22" t="n">
        <f aca="false">IFERROR(AVERAGEIFS(Responses!$Q$2:$Q$500,Responses!$CD$2:$CD$500,"S5 Reluctant Instructors"),"")</f>
        <v>3.06666666666667</v>
      </c>
      <c r="H32" s="22" t="n">
        <f aca="false">IFERROR(AVERAGEIFS(Responses!$Q$2:$Q$500,Responses!$CD$2:$CD$500,"S6 Access-First Learners"),"")</f>
        <v>5.66666666666667</v>
      </c>
      <c r="I32" s="31" t="n">
        <f aca="false">AVERAGE(Responses!$Q$2:$Q$500)</f>
        <v>5.05645161290323</v>
      </c>
    </row>
    <row r="33" customFormat="false" ht="15" hidden="false" customHeight="false" outlineLevel="0" collapsed="false">
      <c r="B33" s="8" t="s">
        <v>1199</v>
      </c>
      <c r="C33" s="22" t="n">
        <f aca="false">IFERROR(AVERAGEIFS(Responses!$BY$2:$BY$500,Responses!$CD$2:$CD$500,"S1 Deadline Sprinters"),"")</f>
        <v>1.44117647058824</v>
      </c>
      <c r="D33" s="22" t="n">
        <f aca="false">IFERROR(AVERAGEIFS(Responses!$BY$2:$BY$500,Responses!$CD$2:$CD$500,"S2 Structured Scholars"),"")</f>
        <v>0.758620689655172</v>
      </c>
      <c r="E33" s="22" t="n">
        <f aca="false">IFERROR(AVERAGEIFS(Responses!$BY$2:$BY$500,Responses!$CD$2:$CD$500,"S3 Overloaded Jugglers"),"")</f>
        <v>3.45</v>
      </c>
      <c r="F33" s="22" t="n">
        <f aca="false">IFERROR(AVERAGEIFS(Responses!$BY$2:$BY$500,Responses!$CD$2:$CD$500,"S4 Power Instructors"),"")</f>
        <v>1</v>
      </c>
      <c r="G33" s="22" t="n">
        <f aca="false">IFERROR(AVERAGEIFS(Responses!$BY$2:$BY$500,Responses!$CD$2:$CD$500,"S5 Reluctant Instructors"),"")</f>
        <v>0.8</v>
      </c>
      <c r="H33" s="22" t="n">
        <f aca="false">IFERROR(AVERAGEIFS(Responses!$BY$2:$BY$500,Responses!$CD$2:$CD$500,"S6 Access-First Learners"),"")</f>
        <v>1.33333333333333</v>
      </c>
      <c r="I33" s="31" t="n">
        <f aca="false">AVERAGE(Responses!$BY$2:$BY$500)</f>
        <v>1.45967741935484</v>
      </c>
    </row>
    <row r="34" customFormat="false" ht="15" hidden="false" customHeight="false" outlineLevel="0" collapsed="false">
      <c r="B34" s="8" t="s">
        <v>1200</v>
      </c>
      <c r="C34" s="21" t="n">
        <f aca="false">IFERROR((COUNTIFS(Responses!$I$2:$I$500,"17-24",Responses!$CD$2:$CD$500,"S1 Deadline Sprinters")+COUNTIFS(Responses!$I$2:$I$500,"25+",Responses!$CD$2:$CD$500,"S1 Deadline Sprinters"))/'2-Segments'!$C$17,"")</f>
        <v>0.0882352941176471</v>
      </c>
      <c r="D34" s="21" t="n">
        <f aca="false">IFERROR((COUNTIFS(Responses!$I$2:$I$500,"17-24",Responses!$CD$2:$CD$500,"S2 Structured Scholars")+COUNTIFS(Responses!$I$2:$I$500,"25+",Responses!$CD$2:$CD$500,"S2 Structured Scholars"))/'2-Segments'!$C$18,"")</f>
        <v>0</v>
      </c>
      <c r="E34" s="21" t="n">
        <f aca="false">IFERROR((COUNTIFS(Responses!$I$2:$I$500,"17-24",Responses!$CD$2:$CD$500,"S3 Overloaded Jugglers")+COUNTIFS(Responses!$I$2:$I$500,"25+",Responses!$CD$2:$CD$500,"S3 Overloaded Jugglers"))/'2-Segments'!$C$19,"")</f>
        <v>0.95</v>
      </c>
      <c r="F34" s="21" t="n">
        <f aca="false">IFERROR((COUNTIFS(Responses!$I$2:$I$500,"17-24",Responses!$CD$2:$CD$500,"S4 Power Instructors")+COUNTIFS(Responses!$I$2:$I$500,"25+",Responses!$CD$2:$CD$500,"S4 Power Instructors"))/'2-Segments'!$C$20,"")</f>
        <v>0.0588235294117647</v>
      </c>
      <c r="G34" s="21" t="n">
        <f aca="false">IFERROR((COUNTIFS(Responses!$I$2:$I$500,"17-24",Responses!$CD$2:$CD$500,"S5 Reluctant Instructors")+COUNTIFS(Responses!$I$2:$I$500,"25+",Responses!$CD$2:$CD$500,"S5 Reluctant Instructors"))/'2-Segments'!$C$21,"")</f>
        <v>0</v>
      </c>
      <c r="H34" s="21" t="n">
        <f aca="false">IFERROR((COUNTIFS(Responses!$I$2:$I$500,"17-24",Responses!$CD$2:$CD$500,"S6 Access-First Learners")+COUNTIFS(Responses!$I$2:$I$500,"25+",Responses!$CD$2:$CD$500,"S6 Access-First Learners"))/'2-Segments'!$C$22,"")</f>
        <v>0.222222222222222</v>
      </c>
      <c r="I34" s="32" t="n">
        <f aca="false">(COUNTIF(Responses!$I$2:$I$500,"17-24")+COUNTIF(Responses!$I$2:$I$500,"25+"))/'1-Patterns'!$C$4</f>
        <v>0.201612903225806</v>
      </c>
    </row>
    <row r="35" customFormat="false" ht="23.85" hidden="false" customHeight="false" outlineLevel="0" collapsed="false">
      <c r="B35" s="8" t="s">
        <v>1201</v>
      </c>
      <c r="C35" s="21" t="n">
        <f aca="false">IFERROR(COUNTIFS(Responses!$J$2:$J$500,0,Responses!$P$2:$P$500,0,Responses!$CD$2:$CD$500,"S1 Deadline Sprinters")/'2-Segments'!$C$17,"")</f>
        <v>0.147058823529412</v>
      </c>
      <c r="D35" s="21" t="n">
        <f aca="false">IFERROR(COUNTIFS(Responses!$J$2:$J$500,0,Responses!$P$2:$P$500,0,Responses!$CD$2:$CD$500,"S2 Structured Scholars")/'2-Segments'!$C$18,"")</f>
        <v>0.137931034482759</v>
      </c>
      <c r="E35" s="21" t="n">
        <f aca="false">IFERROR(COUNTIFS(Responses!$J$2:$J$500,0,Responses!$P$2:$P$500,0,Responses!$CD$2:$CD$500,"S3 Overloaded Jugglers")/'2-Segments'!$C$19,"")</f>
        <v>0.05</v>
      </c>
      <c r="F35" s="21" t="n">
        <f aca="false">IFERROR(COUNTIFS(Responses!$J$2:$J$500,0,Responses!$P$2:$P$500,0,Responses!$CD$2:$CD$500,"S4 Power Instructors")/'2-Segments'!$C$20,"")</f>
        <v>0.0588235294117647</v>
      </c>
      <c r="G35" s="21" t="n">
        <f aca="false">IFERROR(COUNTIFS(Responses!$J$2:$J$500,0,Responses!$P$2:$P$500,0,Responses!$CD$2:$CD$500,"S5 Reluctant Instructors")/'2-Segments'!$C$21,"")</f>
        <v>0.133333333333333</v>
      </c>
      <c r="H35" s="21" t="n">
        <f aca="false">IFERROR(COUNTIFS(Responses!$J$2:$J$500,0,Responses!$P$2:$P$500,0,Responses!$CD$2:$CD$500,"S6 Access-First Learners")/'2-Segments'!$C$22,"")</f>
        <v>1</v>
      </c>
      <c r="I35" s="32" t="n">
        <f aca="false">COUNTIFS(Responses!$J$2:$J$500,0,Responses!$P$2:$P$500,0)/'1-Patterns'!$C$4</f>
        <v>0.17741935483871</v>
      </c>
    </row>
    <row r="36" customFormat="false" ht="15" hidden="false" customHeight="false" outlineLevel="0" collapsed="false">
      <c r="B36" s="8" t="s">
        <v>1202</v>
      </c>
      <c r="C36" s="22" t="n">
        <f aca="false">IFERROR(AVERAGEIFS(Responses!$BZ$2:$BZ$500,Responses!$CD$2:$CD$500,"S1 Deadline Sprinters"),"")</f>
        <v>1.26470588235294</v>
      </c>
      <c r="D36" s="22" t="n">
        <f aca="false">IFERROR(AVERAGEIFS(Responses!$BZ$2:$BZ$500,Responses!$CD$2:$CD$500,"S2 Structured Scholars"),"")</f>
        <v>1.3448275862069</v>
      </c>
      <c r="E36" s="22" t="n">
        <f aca="false">IFERROR(AVERAGEIFS(Responses!$BZ$2:$BZ$500,Responses!$CD$2:$CD$500,"S3 Overloaded Jugglers"),"")</f>
        <v>1.85</v>
      </c>
      <c r="F36" s="22" t="n">
        <f aca="false">IFERROR(AVERAGEIFS(Responses!$BZ$2:$BZ$500,Responses!$CD$2:$CD$500,"S4 Power Instructors"),"")</f>
        <v>1.47058823529412</v>
      </c>
      <c r="G36" s="22" t="n">
        <f aca="false">IFERROR(AVERAGEIFS(Responses!$BZ$2:$BZ$500,Responses!$CD$2:$CD$500,"S5 Reluctant Instructors"),"")</f>
        <v>1.73333333333333</v>
      </c>
      <c r="H36" s="22" t="n">
        <f aca="false">IFERROR(AVERAGEIFS(Responses!$BZ$2:$BZ$500,Responses!$CD$2:$CD$500,"S6 Access-First Learners"),"")</f>
        <v>2.44444444444444</v>
      </c>
      <c r="I36" s="31" t="n">
        <f aca="false">AVERAGE(Responses!$BZ$2:$BZ$500)</f>
        <v>1.54838709677419</v>
      </c>
    </row>
    <row r="37" customFormat="false" ht="15" hidden="false" customHeight="false" outlineLevel="0" collapsed="false">
      <c r="B37" s="8" t="s">
        <v>1203</v>
      </c>
      <c r="C37" s="21" t="n">
        <f aca="false">IFERROR(COUNTIFS(Responses!$AS$2:$AS$500,1,Responses!$CD$2:$CD$500,"S1 Deadline Sprinters")/'2-Segments'!$C$17,"")</f>
        <v>0.117647058823529</v>
      </c>
      <c r="D37" s="21" t="n">
        <f aca="false">IFERROR(COUNTIFS(Responses!$AS$2:$AS$500,1,Responses!$CD$2:$CD$500,"S2 Structured Scholars")/'2-Segments'!$C$18,"")</f>
        <v>0.137931034482759</v>
      </c>
      <c r="E37" s="21" t="n">
        <f aca="false">IFERROR(COUNTIFS(Responses!$AS$2:$AS$500,1,Responses!$CD$2:$CD$500,"S3 Overloaded Jugglers")/'2-Segments'!$C$19,"")</f>
        <v>0.25</v>
      </c>
      <c r="F37" s="21" t="n">
        <f aca="false">IFERROR(COUNTIFS(Responses!$AS$2:$AS$500,1,Responses!$CD$2:$CD$500,"S4 Power Instructors")/'2-Segments'!$C$20,"")</f>
        <v>0.0588235294117647</v>
      </c>
      <c r="G37" s="21" t="n">
        <f aca="false">IFERROR(COUNTIFS(Responses!$AS$2:$AS$500,1,Responses!$CD$2:$CD$500,"S5 Reluctant Instructors")/'2-Segments'!$C$21,"")</f>
        <v>0.0666666666666667</v>
      </c>
      <c r="H37" s="21" t="n">
        <f aca="false">IFERROR(COUNTIFS(Responses!$AS$2:$AS$500,1,Responses!$CD$2:$CD$500,"S6 Access-First Learners")/'2-Segments'!$C$22,"")</f>
        <v>0.222222222222222</v>
      </c>
      <c r="I37" s="32" t="n">
        <f aca="false">COUNTIF(Responses!$AS$2:$AS$500,1)/'1-Patterns'!$C$4</f>
        <v>0.137096774193548</v>
      </c>
    </row>
    <row r="38" customFormat="false" ht="15" hidden="false" customHeight="false" outlineLevel="0" collapsed="false">
      <c r="B38" s="8" t="s">
        <v>1204</v>
      </c>
      <c r="C38" s="22" t="n">
        <f aca="false">IFERROR(AVERAGEIFS(Responses!$CA$2:$CA$500,Responses!$CD$2:$CD$500,"S1 Deadline Sprinters"),"")</f>
        <v>3.94117647058824</v>
      </c>
      <c r="D38" s="22" t="n">
        <f aca="false">IFERROR(AVERAGEIFS(Responses!$CA$2:$CA$500,Responses!$CD$2:$CD$500,"S2 Structured Scholars"),"")</f>
        <v>2.44827586206897</v>
      </c>
      <c r="E38" s="22" t="n">
        <f aca="false">IFERROR(AVERAGEIFS(Responses!$CA$2:$CA$500,Responses!$CD$2:$CD$500,"S3 Overloaded Jugglers"),"")</f>
        <v>3.55</v>
      </c>
      <c r="F38" s="22" t="n">
        <f aca="false">IFERROR(AVERAGEIFS(Responses!$CA$2:$CA$500,Responses!$CD$2:$CD$500,"S4 Power Instructors"),"")</f>
        <v>2.11764705882353</v>
      </c>
      <c r="G38" s="22" t="n">
        <f aca="false">IFERROR(AVERAGEIFS(Responses!$CA$2:$CA$500,Responses!$CD$2:$CD$500,"S5 Reluctant Instructors"),"")</f>
        <v>2.33333333333333</v>
      </c>
      <c r="H38" s="22" t="n">
        <f aca="false">IFERROR(AVERAGEIFS(Responses!$CA$2:$CA$500,Responses!$CD$2:$CD$500,"S6 Access-First Learners"),"")</f>
        <v>3.55555555555556</v>
      </c>
      <c r="I38" s="31" t="n">
        <f aca="false">AVERAGE(Responses!$CA$2:$CA$500)</f>
        <v>3.05645161290323</v>
      </c>
    </row>
    <row r="39" customFormat="false" ht="15" hidden="false" customHeight="false" outlineLevel="0" collapsed="false">
      <c r="B39" s="29" t="s">
        <v>1205</v>
      </c>
      <c r="C39" s="30"/>
      <c r="D39" s="30"/>
      <c r="E39" s="30"/>
      <c r="F39" s="30"/>
      <c r="G39" s="30"/>
      <c r="H39" s="30"/>
      <c r="I39" s="30"/>
    </row>
    <row r="40" customFormat="false" ht="15" hidden="false" customHeight="false" outlineLevel="0" collapsed="false">
      <c r="B40" s="8" t="s">
        <v>444</v>
      </c>
      <c r="C40" s="21" t="n">
        <f aca="false">IFERROR(COUNTIFS(Responses!$Z$2:$Z$500,1,Responses!$CD$2:$CD$500,"S1 Deadline Sprinters")/'2-Segments'!$C$17,"")</f>
        <v>0.882352941176471</v>
      </c>
      <c r="D40" s="21" t="n">
        <f aca="false">IFERROR(COUNTIFS(Responses!$Z$2:$Z$500,1,Responses!$CD$2:$CD$500,"S2 Structured Scholars")/'2-Segments'!$C$18,"")</f>
        <v>0.758620689655172</v>
      </c>
      <c r="E40" s="21" t="n">
        <f aca="false">IFERROR(COUNTIFS(Responses!$Z$2:$Z$500,1,Responses!$CD$2:$CD$500,"S3 Overloaded Jugglers")/'2-Segments'!$C$19,"")</f>
        <v>0.75</v>
      </c>
      <c r="F40" s="21" t="n">
        <f aca="false">IFERROR(COUNTIFS(Responses!$Z$2:$Z$500,1,Responses!$CD$2:$CD$500,"S4 Power Instructors")/'2-Segments'!$C$20,"")</f>
        <v>0.941176470588235</v>
      </c>
      <c r="G40" s="21" t="n">
        <f aca="false">IFERROR(COUNTIFS(Responses!$Z$2:$Z$500,1,Responses!$CD$2:$CD$500,"S5 Reluctant Instructors")/'2-Segments'!$C$21,"")</f>
        <v>0.733333333333333</v>
      </c>
      <c r="H40" s="21" t="n">
        <f aca="false">IFERROR(COUNTIFS(Responses!$Z$2:$Z$500,1,Responses!$CD$2:$CD$500,"S6 Access-First Learners")/'2-Segments'!$C$22,"")</f>
        <v>1</v>
      </c>
      <c r="I40" s="32" t="n">
        <f aca="false">COUNTIF(Responses!$Z$2:$Z$500,1)/'1-Patterns'!$C$4</f>
        <v>0.830645161290323</v>
      </c>
    </row>
    <row r="41" customFormat="false" ht="15" hidden="false" customHeight="false" outlineLevel="0" collapsed="false">
      <c r="B41" s="8" t="s">
        <v>447</v>
      </c>
      <c r="C41" s="21" t="n">
        <f aca="false">IFERROR(COUNTIFS(Responses!$AA$2:$AA$500,1,Responses!$CD$2:$CD$500,"S1 Deadline Sprinters")/'2-Segments'!$C$17,"")</f>
        <v>0.764705882352941</v>
      </c>
      <c r="D41" s="21" t="n">
        <f aca="false">IFERROR(COUNTIFS(Responses!$AA$2:$AA$500,1,Responses!$CD$2:$CD$500,"S2 Structured Scholars")/'2-Segments'!$C$18,"")</f>
        <v>0.896551724137931</v>
      </c>
      <c r="E41" s="21" t="n">
        <f aca="false">IFERROR(COUNTIFS(Responses!$AA$2:$AA$500,1,Responses!$CD$2:$CD$500,"S3 Overloaded Jugglers")/'2-Segments'!$C$19,"")</f>
        <v>0.65</v>
      </c>
      <c r="F41" s="21" t="n">
        <f aca="false">IFERROR(COUNTIFS(Responses!$AA$2:$AA$500,1,Responses!$CD$2:$CD$500,"S4 Power Instructors")/'2-Segments'!$C$20,"")</f>
        <v>1</v>
      </c>
      <c r="G41" s="21" t="n">
        <f aca="false">IFERROR(COUNTIFS(Responses!$AA$2:$AA$500,1,Responses!$CD$2:$CD$500,"S5 Reluctant Instructors")/'2-Segments'!$C$21,"")</f>
        <v>0.333333333333333</v>
      </c>
      <c r="H41" s="21" t="n">
        <f aca="false">IFERROR(COUNTIFS(Responses!$AA$2:$AA$500,1,Responses!$CD$2:$CD$500,"S6 Access-First Learners")/'2-Segments'!$C$22,"")</f>
        <v>0.777777777777778</v>
      </c>
      <c r="I41" s="32" t="n">
        <f aca="false">COUNTIF(Responses!$AA$2:$AA$500,1)/'1-Patterns'!$C$4</f>
        <v>0.758064516129032</v>
      </c>
    </row>
    <row r="42" customFormat="false" ht="15" hidden="false" customHeight="false" outlineLevel="0" collapsed="false">
      <c r="B42" s="8" t="s">
        <v>450</v>
      </c>
      <c r="C42" s="21" t="n">
        <f aca="false">IFERROR(COUNTIFS(Responses!$AB$2:$AB$500,1,Responses!$CD$2:$CD$500,"S1 Deadline Sprinters")/'2-Segments'!$C$17,"")</f>
        <v>0.941176470588235</v>
      </c>
      <c r="D42" s="21" t="n">
        <f aca="false">IFERROR(COUNTIFS(Responses!$AB$2:$AB$500,1,Responses!$CD$2:$CD$500,"S2 Structured Scholars")/'2-Segments'!$C$18,"")</f>
        <v>0.482758620689655</v>
      </c>
      <c r="E42" s="21" t="n">
        <f aca="false">IFERROR(COUNTIFS(Responses!$AB$2:$AB$500,1,Responses!$CD$2:$CD$500,"S3 Overloaded Jugglers")/'2-Segments'!$C$19,"")</f>
        <v>0.4</v>
      </c>
      <c r="F42" s="21" t="n">
        <f aca="false">IFERROR(COUNTIFS(Responses!$AB$2:$AB$500,1,Responses!$CD$2:$CD$500,"S4 Power Instructors")/'2-Segments'!$C$20,"")</f>
        <v>1</v>
      </c>
      <c r="G42" s="21" t="n">
        <f aca="false">IFERROR(COUNTIFS(Responses!$AB$2:$AB$500,1,Responses!$CD$2:$CD$500,"S5 Reluctant Instructors")/'2-Segments'!$C$21,"")</f>
        <v>0.133333333333333</v>
      </c>
      <c r="H42" s="21" t="n">
        <f aca="false">IFERROR(COUNTIFS(Responses!$AB$2:$AB$500,1,Responses!$CD$2:$CD$500,"S6 Access-First Learners")/'2-Segments'!$C$22,"")</f>
        <v>0.555555555555556</v>
      </c>
      <c r="I42" s="32" t="n">
        <f aca="false">COUNTIF(Responses!$AB$2:$AB$500,1)/'1-Patterns'!$C$4</f>
        <v>0.629032258064516</v>
      </c>
    </row>
    <row r="43" customFormat="false" ht="15" hidden="false" customHeight="false" outlineLevel="0" collapsed="false">
      <c r="B43" s="8" t="s">
        <v>453</v>
      </c>
      <c r="C43" s="21" t="n">
        <f aca="false">IFERROR(COUNTIFS(Responses!$AC$2:$AC$500,1,Responses!$CD$2:$CD$500,"S1 Deadline Sprinters")/'2-Segments'!$C$17,"")</f>
        <v>0.441176470588235</v>
      </c>
      <c r="D43" s="21" t="n">
        <f aca="false">IFERROR(COUNTIFS(Responses!$AC$2:$AC$500,1,Responses!$CD$2:$CD$500,"S2 Structured Scholars")/'2-Segments'!$C$18,"")</f>
        <v>0.931034482758621</v>
      </c>
      <c r="E43" s="21" t="n">
        <f aca="false">IFERROR(COUNTIFS(Responses!$AC$2:$AC$500,1,Responses!$CD$2:$CD$500,"S3 Overloaded Jugglers")/'2-Segments'!$C$19,"")</f>
        <v>0.7</v>
      </c>
      <c r="F43" s="21" t="n">
        <f aca="false">IFERROR(COUNTIFS(Responses!$AC$2:$AC$500,1,Responses!$CD$2:$CD$500,"S4 Power Instructors")/'2-Segments'!$C$20,"")</f>
        <v>0.941176470588235</v>
      </c>
      <c r="G43" s="21" t="n">
        <f aca="false">IFERROR(COUNTIFS(Responses!$AC$2:$AC$500,1,Responses!$CD$2:$CD$500,"S5 Reluctant Instructors")/'2-Segments'!$C$21,"")</f>
        <v>0.8</v>
      </c>
      <c r="H43" s="21" t="n">
        <f aca="false">IFERROR(COUNTIFS(Responses!$AC$2:$AC$500,1,Responses!$CD$2:$CD$500,"S6 Access-First Learners")/'2-Segments'!$C$22,"")</f>
        <v>1</v>
      </c>
      <c r="I43" s="32" t="n">
        <f aca="false">COUNTIF(Responses!$AC$2:$AC$500,1)/'1-Patterns'!$C$4</f>
        <v>0.75</v>
      </c>
    </row>
    <row r="44" customFormat="false" ht="15" hidden="false" customHeight="false" outlineLevel="0" collapsed="false">
      <c r="B44" s="8" t="s">
        <v>456</v>
      </c>
      <c r="C44" s="21" t="n">
        <f aca="false">IFERROR(COUNTIFS(Responses!$AD$2:$AD$500,1,Responses!$CD$2:$CD$500,"S1 Deadline Sprinters")/'2-Segments'!$C$17,"")</f>
        <v>0.558823529411765</v>
      </c>
      <c r="D44" s="21" t="n">
        <f aca="false">IFERROR(COUNTIFS(Responses!$AD$2:$AD$500,1,Responses!$CD$2:$CD$500,"S2 Structured Scholars")/'2-Segments'!$C$18,"")</f>
        <v>0.551724137931035</v>
      </c>
      <c r="E44" s="21" t="n">
        <f aca="false">IFERROR(COUNTIFS(Responses!$AD$2:$AD$500,1,Responses!$CD$2:$CD$500,"S3 Overloaded Jugglers")/'2-Segments'!$C$19,"")</f>
        <v>0.35</v>
      </c>
      <c r="F44" s="21" t="n">
        <f aca="false">IFERROR(COUNTIFS(Responses!$AD$2:$AD$500,1,Responses!$CD$2:$CD$500,"S4 Power Instructors")/'2-Segments'!$C$20,"")</f>
        <v>0.294117647058824</v>
      </c>
      <c r="G44" s="21" t="n">
        <f aca="false">IFERROR(COUNTIFS(Responses!$AD$2:$AD$500,1,Responses!$CD$2:$CD$500,"S5 Reluctant Instructors")/'2-Segments'!$C$21,"")</f>
        <v>0.133333333333333</v>
      </c>
      <c r="H44" s="21" t="n">
        <f aca="false">IFERROR(COUNTIFS(Responses!$AD$2:$AD$500,1,Responses!$CD$2:$CD$500,"S6 Access-First Learners")/'2-Segments'!$C$22,"")</f>
        <v>0.888888888888889</v>
      </c>
      <c r="I44" s="32" t="n">
        <f aca="false">COUNTIF(Responses!$AD$2:$AD$500,1)/'1-Patterns'!$C$4</f>
        <v>0.459677419354839</v>
      </c>
    </row>
    <row r="45" customFormat="false" ht="15" hidden="false" customHeight="false" outlineLevel="0" collapsed="false">
      <c r="B45" s="8" t="s">
        <v>459</v>
      </c>
      <c r="C45" s="21" t="n">
        <f aca="false">IFERROR(COUNTIFS(Responses!$AE$2:$AE$500,1,Responses!$CD$2:$CD$500,"S1 Deadline Sprinters")/'2-Segments'!$C$17,"")</f>
        <v>0.235294117647059</v>
      </c>
      <c r="D45" s="21" t="n">
        <f aca="false">IFERROR(COUNTIFS(Responses!$AE$2:$AE$500,1,Responses!$CD$2:$CD$500,"S2 Structured Scholars")/'2-Segments'!$C$18,"")</f>
        <v>0.241379310344828</v>
      </c>
      <c r="E45" s="21" t="n">
        <f aca="false">IFERROR(COUNTIFS(Responses!$AE$2:$AE$500,1,Responses!$CD$2:$CD$500,"S3 Overloaded Jugglers")/'2-Segments'!$C$19,"")</f>
        <v>0.25</v>
      </c>
      <c r="F45" s="21" t="n">
        <f aca="false">IFERROR(COUNTIFS(Responses!$AE$2:$AE$500,1,Responses!$CD$2:$CD$500,"S4 Power Instructors")/'2-Segments'!$C$20,"")</f>
        <v>0.823529411764706</v>
      </c>
      <c r="G45" s="21" t="n">
        <f aca="false">IFERROR(COUNTIFS(Responses!$AE$2:$AE$500,1,Responses!$CD$2:$CD$500,"S5 Reluctant Instructors")/'2-Segments'!$C$21,"")</f>
        <v>0.4</v>
      </c>
      <c r="H45" s="21" t="n">
        <f aca="false">IFERROR(COUNTIFS(Responses!$AE$2:$AE$500,1,Responses!$CD$2:$CD$500,"S6 Access-First Learners")/'2-Segments'!$C$22,"")</f>
        <v>0</v>
      </c>
      <c r="I45" s="32" t="n">
        <f aca="false">COUNTIF(Responses!$AE$2:$AE$500,1)/'1-Patterns'!$C$4</f>
        <v>0.32258064516129</v>
      </c>
    </row>
    <row r="46" customFormat="false" ht="15" hidden="false" customHeight="false" outlineLevel="0" collapsed="false">
      <c r="B46" s="8" t="s">
        <v>462</v>
      </c>
      <c r="C46" s="21" t="n">
        <f aca="false">IFERROR(COUNTIFS(Responses!$AF$2:$AF$500,1,Responses!$CD$2:$CD$500,"S1 Deadline Sprinters")/'2-Segments'!$C$17,"")</f>
        <v>0.117647058823529</v>
      </c>
      <c r="D46" s="21" t="n">
        <f aca="false">IFERROR(COUNTIFS(Responses!$AF$2:$AF$500,1,Responses!$CD$2:$CD$500,"S2 Structured Scholars")/'2-Segments'!$C$18,"")</f>
        <v>0.413793103448276</v>
      </c>
      <c r="E46" s="21" t="n">
        <f aca="false">IFERROR(COUNTIFS(Responses!$AF$2:$AF$500,1,Responses!$CD$2:$CD$500,"S3 Overloaded Jugglers")/'2-Segments'!$C$19,"")</f>
        <v>0.2</v>
      </c>
      <c r="F46" s="21" t="n">
        <f aca="false">IFERROR(COUNTIFS(Responses!$AF$2:$AF$500,1,Responses!$CD$2:$CD$500,"S4 Power Instructors")/'2-Segments'!$C$20,"")</f>
        <v>0.411764705882353</v>
      </c>
      <c r="G46" s="21" t="n">
        <f aca="false">IFERROR(COUNTIFS(Responses!$AF$2:$AF$500,1,Responses!$CD$2:$CD$500,"S5 Reluctant Instructors")/'2-Segments'!$C$21,"")</f>
        <v>0</v>
      </c>
      <c r="H46" s="21" t="n">
        <f aca="false">IFERROR(COUNTIFS(Responses!$AF$2:$AF$500,1,Responses!$CD$2:$CD$500,"S6 Access-First Learners")/'2-Segments'!$C$22,"")</f>
        <v>0.111111111111111</v>
      </c>
      <c r="I46" s="32" t="n">
        <f aca="false">COUNTIF(Responses!$AF$2:$AF$500,1)/'1-Patterns'!$C$4</f>
        <v>0.225806451612903</v>
      </c>
    </row>
    <row r="47" customFormat="false" ht="15" hidden="false" customHeight="false" outlineLevel="0" collapsed="false">
      <c r="B47" s="8" t="s">
        <v>465</v>
      </c>
      <c r="C47" s="21" t="n">
        <f aca="false">IFERROR(COUNTIFS(Responses!$AG$2:$AG$500,1,Responses!$CD$2:$CD$500,"S1 Deadline Sprinters")/'2-Segments'!$C$17,"")</f>
        <v>0.352941176470588</v>
      </c>
      <c r="D47" s="21" t="n">
        <f aca="false">IFERROR(COUNTIFS(Responses!$AG$2:$AG$500,1,Responses!$CD$2:$CD$500,"S2 Structured Scholars")/'2-Segments'!$C$18,"")</f>
        <v>0.310344827586207</v>
      </c>
      <c r="E47" s="21" t="n">
        <f aca="false">IFERROR(COUNTIFS(Responses!$AG$2:$AG$500,1,Responses!$CD$2:$CD$500,"S3 Overloaded Jugglers")/'2-Segments'!$C$19,"")</f>
        <v>0.4</v>
      </c>
      <c r="F47" s="21" t="n">
        <f aca="false">IFERROR(COUNTIFS(Responses!$AG$2:$AG$500,1,Responses!$CD$2:$CD$500,"S4 Power Instructors")/'2-Segments'!$C$20,"")</f>
        <v>0.470588235294118</v>
      </c>
      <c r="G47" s="21" t="n">
        <f aca="false">IFERROR(COUNTIFS(Responses!$AG$2:$AG$500,1,Responses!$CD$2:$CD$500,"S5 Reluctant Instructors")/'2-Segments'!$C$21,"")</f>
        <v>0.0666666666666667</v>
      </c>
      <c r="H47" s="21" t="n">
        <f aca="false">IFERROR(COUNTIFS(Responses!$AG$2:$AG$500,1,Responses!$CD$2:$CD$500,"S6 Access-First Learners")/'2-Segments'!$C$22,"")</f>
        <v>0</v>
      </c>
      <c r="I47" s="32" t="n">
        <f aca="false">COUNTIF(Responses!$AG$2:$AG$500,1)/'1-Patterns'!$C$4</f>
        <v>0.306451612903226</v>
      </c>
    </row>
    <row r="48" customFormat="false" ht="15" hidden="false" customHeight="false" outlineLevel="0" collapsed="false">
      <c r="B48" s="8" t="s">
        <v>468</v>
      </c>
      <c r="C48" s="21" t="n">
        <f aca="false">IFERROR(COUNTIFS(Responses!$AH$2:$AH$500,1,Responses!$CD$2:$CD$500,"S1 Deadline Sprinters")/'2-Segments'!$C$17,"")</f>
        <v>0.382352941176471</v>
      </c>
      <c r="D48" s="21" t="n">
        <f aca="false">IFERROR(COUNTIFS(Responses!$AH$2:$AH$500,1,Responses!$CD$2:$CD$500,"S2 Structured Scholars")/'2-Segments'!$C$18,"")</f>
        <v>0.758620689655172</v>
      </c>
      <c r="E48" s="21" t="n">
        <f aca="false">IFERROR(COUNTIFS(Responses!$AH$2:$AH$500,1,Responses!$CD$2:$CD$500,"S3 Overloaded Jugglers")/'2-Segments'!$C$19,"")</f>
        <v>0.75</v>
      </c>
      <c r="F48" s="21" t="n">
        <f aca="false">IFERROR(COUNTIFS(Responses!$AH$2:$AH$500,1,Responses!$CD$2:$CD$500,"S4 Power Instructors")/'2-Segments'!$C$20,"")</f>
        <v>0.352941176470588</v>
      </c>
      <c r="G48" s="21" t="n">
        <f aca="false">IFERROR(COUNTIFS(Responses!$AH$2:$AH$500,1,Responses!$CD$2:$CD$500,"S5 Reluctant Instructors")/'2-Segments'!$C$21,"")</f>
        <v>0.2</v>
      </c>
      <c r="H48" s="21" t="n">
        <f aca="false">IFERROR(COUNTIFS(Responses!$AH$2:$AH$500,1,Responses!$CD$2:$CD$500,"S6 Access-First Learners")/'2-Segments'!$C$22,"")</f>
        <v>0.666666666666667</v>
      </c>
      <c r="I48" s="32" t="n">
        <f aca="false">COUNTIF(Responses!$AH$2:$AH$500,1)/'1-Patterns'!$C$4</f>
        <v>0.524193548387097</v>
      </c>
    </row>
    <row r="49" customFormat="false" ht="15" hidden="false" customHeight="false" outlineLevel="0" collapsed="false">
      <c r="B49" s="8" t="s">
        <v>471</v>
      </c>
      <c r="C49" s="21" t="n">
        <f aca="false">IFERROR(COUNTIFS(Responses!$AI$2:$AI$500,1,Responses!$CD$2:$CD$500,"S1 Deadline Sprinters")/'2-Segments'!$C$17,"")</f>
        <v>0.176470588235294</v>
      </c>
      <c r="D49" s="21" t="n">
        <f aca="false">IFERROR(COUNTIFS(Responses!$AI$2:$AI$500,1,Responses!$CD$2:$CD$500,"S2 Structured Scholars")/'2-Segments'!$C$18,"")</f>
        <v>0.413793103448276</v>
      </c>
      <c r="E49" s="21" t="n">
        <f aca="false">IFERROR(COUNTIFS(Responses!$AI$2:$AI$500,1,Responses!$CD$2:$CD$500,"S3 Overloaded Jugglers")/'2-Segments'!$C$19,"")</f>
        <v>0.3</v>
      </c>
      <c r="F49" s="21" t="n">
        <f aca="false">IFERROR(COUNTIFS(Responses!$AI$2:$AI$500,1,Responses!$CD$2:$CD$500,"S4 Power Instructors")/'2-Segments'!$C$20,"")</f>
        <v>0.411764705882353</v>
      </c>
      <c r="G49" s="21" t="n">
        <f aca="false">IFERROR(COUNTIFS(Responses!$AI$2:$AI$500,1,Responses!$CD$2:$CD$500,"S5 Reluctant Instructors")/'2-Segments'!$C$21,"")</f>
        <v>0.133333333333333</v>
      </c>
      <c r="H49" s="21" t="n">
        <f aca="false">IFERROR(COUNTIFS(Responses!$AI$2:$AI$500,1,Responses!$CD$2:$CD$500,"S6 Access-First Learners")/'2-Segments'!$C$22,"")</f>
        <v>0.111111111111111</v>
      </c>
      <c r="I49" s="32" t="n">
        <f aca="false">COUNTIF(Responses!$AI$2:$AI$500,1)/'1-Patterns'!$C$4</f>
        <v>0.274193548387097</v>
      </c>
    </row>
    <row r="50" customFormat="false" ht="15" hidden="false" customHeight="false" outlineLevel="0" collapsed="false">
      <c r="B50" s="8" t="s">
        <v>474</v>
      </c>
      <c r="C50" s="21" t="n">
        <f aca="false">IFERROR(COUNTIFS(Responses!$AJ$2:$AJ$500,1,Responses!$CD$2:$CD$500,"S1 Deadline Sprinters")/'2-Segments'!$C$17,"")</f>
        <v>0.117647058823529</v>
      </c>
      <c r="D50" s="21" t="n">
        <f aca="false">IFERROR(COUNTIFS(Responses!$AJ$2:$AJ$500,1,Responses!$CD$2:$CD$500,"S2 Structured Scholars")/'2-Segments'!$C$18,"")</f>
        <v>0.344827586206897</v>
      </c>
      <c r="E50" s="21" t="n">
        <f aca="false">IFERROR(COUNTIFS(Responses!$AJ$2:$AJ$500,1,Responses!$CD$2:$CD$500,"S3 Overloaded Jugglers")/'2-Segments'!$C$19,"")</f>
        <v>0.1</v>
      </c>
      <c r="F50" s="21" t="n">
        <f aca="false">IFERROR(COUNTIFS(Responses!$AJ$2:$AJ$500,1,Responses!$CD$2:$CD$500,"S4 Power Instructors")/'2-Segments'!$C$20,"")</f>
        <v>0.411764705882353</v>
      </c>
      <c r="G50" s="21" t="n">
        <f aca="false">IFERROR(COUNTIFS(Responses!$AJ$2:$AJ$500,1,Responses!$CD$2:$CD$500,"S5 Reluctant Instructors")/'2-Segments'!$C$21,"")</f>
        <v>0.266666666666667</v>
      </c>
      <c r="H50" s="21" t="n">
        <f aca="false">IFERROR(COUNTIFS(Responses!$AJ$2:$AJ$500,1,Responses!$CD$2:$CD$500,"S6 Access-First Learners")/'2-Segments'!$C$22,"")</f>
        <v>0.333333333333333</v>
      </c>
      <c r="I50" s="32" t="n">
        <f aca="false">COUNTIF(Responses!$AJ$2:$AJ$500,1)/'1-Patterns'!$C$4</f>
        <v>0.241935483870968</v>
      </c>
    </row>
    <row r="51" customFormat="false" ht="15" hidden="false" customHeight="false" outlineLevel="0" collapsed="false">
      <c r="B51" s="29" t="s">
        <v>1206</v>
      </c>
      <c r="C51" s="30"/>
      <c r="D51" s="30"/>
      <c r="E51" s="30"/>
      <c r="F51" s="30"/>
      <c r="G51" s="30"/>
      <c r="H51" s="30"/>
      <c r="I51" s="30"/>
    </row>
    <row r="52" customFormat="false" ht="15" hidden="false" customHeight="false" outlineLevel="0" collapsed="false">
      <c r="B52" s="8" t="s">
        <v>478</v>
      </c>
      <c r="C52" s="21" t="n">
        <f aca="false">IFERROR(COUNTIFS(Responses!$AL$2:$AL$500,1,Responses!$CD$2:$CD$500,"S1 Deadline Sprinters")/'2-Segments'!$C$17,"")</f>
        <v>0.411764705882353</v>
      </c>
      <c r="D52" s="21" t="n">
        <f aca="false">IFERROR(COUNTIFS(Responses!$AL$2:$AL$500,1,Responses!$CD$2:$CD$500,"S2 Structured Scholars")/'2-Segments'!$C$18,"")</f>
        <v>0.379310344827586</v>
      </c>
      <c r="E52" s="21" t="n">
        <f aca="false">IFERROR(COUNTIFS(Responses!$AL$2:$AL$500,1,Responses!$CD$2:$CD$500,"S3 Overloaded Jugglers")/'2-Segments'!$C$19,"")</f>
        <v>0.2</v>
      </c>
      <c r="F52" s="21" t="n">
        <f aca="false">IFERROR(COUNTIFS(Responses!$AL$2:$AL$500,1,Responses!$CD$2:$CD$500,"S4 Power Instructors")/'2-Segments'!$C$20,"")</f>
        <v>0.529411764705882</v>
      </c>
      <c r="G52" s="21" t="n">
        <f aca="false">IFERROR(COUNTIFS(Responses!$AL$2:$AL$500,1,Responses!$CD$2:$CD$500,"S5 Reluctant Instructors")/'2-Segments'!$C$21,"")</f>
        <v>0.0666666666666667</v>
      </c>
      <c r="H52" s="21" t="n">
        <f aca="false">IFERROR(COUNTIFS(Responses!$AL$2:$AL$500,1,Responses!$CD$2:$CD$500,"S6 Access-First Learners")/'2-Segments'!$C$22,"")</f>
        <v>0.666666666666667</v>
      </c>
      <c r="I52" s="32" t="n">
        <f aca="false">COUNTIF(Responses!$AL$2:$AL$500,1)/'1-Patterns'!$C$4</f>
        <v>0.362903225806452</v>
      </c>
    </row>
    <row r="53" customFormat="false" ht="15" hidden="false" customHeight="false" outlineLevel="0" collapsed="false">
      <c r="B53" s="8" t="s">
        <v>481</v>
      </c>
      <c r="C53" s="21" t="n">
        <f aca="false">IFERROR(COUNTIFS(Responses!$AM$2:$AM$500,1,Responses!$CD$2:$CD$500,"S1 Deadline Sprinters")/'2-Segments'!$C$17,"")</f>
        <v>0.264705882352941</v>
      </c>
      <c r="D53" s="21" t="n">
        <f aca="false">IFERROR(COUNTIFS(Responses!$AM$2:$AM$500,1,Responses!$CD$2:$CD$500,"S2 Structured Scholars")/'2-Segments'!$C$18,"")</f>
        <v>0.344827586206897</v>
      </c>
      <c r="E53" s="21" t="n">
        <f aca="false">IFERROR(COUNTIFS(Responses!$AM$2:$AM$500,1,Responses!$CD$2:$CD$500,"S3 Overloaded Jugglers")/'2-Segments'!$C$19,"")</f>
        <v>0.6</v>
      </c>
      <c r="F53" s="21" t="n">
        <f aca="false">IFERROR(COUNTIFS(Responses!$AM$2:$AM$500,1,Responses!$CD$2:$CD$500,"S4 Power Instructors")/'2-Segments'!$C$20,"")</f>
        <v>0.352941176470588</v>
      </c>
      <c r="G53" s="21" t="n">
        <f aca="false">IFERROR(COUNTIFS(Responses!$AM$2:$AM$500,1,Responses!$CD$2:$CD$500,"S5 Reluctant Instructors")/'2-Segments'!$C$21,"")</f>
        <v>0.333333333333333</v>
      </c>
      <c r="H53" s="21" t="n">
        <f aca="false">IFERROR(COUNTIFS(Responses!$AM$2:$AM$500,1,Responses!$CD$2:$CD$500,"S6 Access-First Learners")/'2-Segments'!$C$22,"")</f>
        <v>0.444444444444444</v>
      </c>
      <c r="I53" s="32" t="n">
        <f aca="false">COUNTIF(Responses!$AM$2:$AM$500,1)/'1-Patterns'!$C$4</f>
        <v>0.370967741935484</v>
      </c>
    </row>
    <row r="54" customFormat="false" ht="15" hidden="false" customHeight="false" outlineLevel="0" collapsed="false">
      <c r="B54" s="8" t="s">
        <v>484</v>
      </c>
      <c r="C54" s="21" t="n">
        <f aca="false">IFERROR(COUNTIFS(Responses!$AN$2:$AN$500,1,Responses!$CD$2:$CD$500,"S1 Deadline Sprinters")/'2-Segments'!$C$17,"")</f>
        <v>0.529411764705882</v>
      </c>
      <c r="D54" s="21" t="n">
        <f aca="false">IFERROR(COUNTIFS(Responses!$AN$2:$AN$500,1,Responses!$CD$2:$CD$500,"S2 Structured Scholars")/'2-Segments'!$C$18,"")</f>
        <v>0.103448275862069</v>
      </c>
      <c r="E54" s="21" t="n">
        <f aca="false">IFERROR(COUNTIFS(Responses!$AN$2:$AN$500,1,Responses!$CD$2:$CD$500,"S3 Overloaded Jugglers")/'2-Segments'!$C$19,"")</f>
        <v>0.05</v>
      </c>
      <c r="F54" s="21" t="n">
        <f aca="false">IFERROR(COUNTIFS(Responses!$AN$2:$AN$500,1,Responses!$CD$2:$CD$500,"S4 Power Instructors")/'2-Segments'!$C$20,"")</f>
        <v>0.0588235294117647</v>
      </c>
      <c r="G54" s="21" t="n">
        <f aca="false">IFERROR(COUNTIFS(Responses!$AN$2:$AN$500,1,Responses!$CD$2:$CD$500,"S5 Reluctant Instructors")/'2-Segments'!$C$21,"")</f>
        <v>0</v>
      </c>
      <c r="H54" s="21" t="n">
        <f aca="false">IFERROR(COUNTIFS(Responses!$AN$2:$AN$500,1,Responses!$CD$2:$CD$500,"S6 Access-First Learners")/'2-Segments'!$C$22,"")</f>
        <v>0</v>
      </c>
      <c r="I54" s="32" t="n">
        <f aca="false">COUNTIF(Responses!$AN$2:$AN$500,1)/'1-Patterns'!$C$4</f>
        <v>0.185483870967742</v>
      </c>
    </row>
    <row r="55" customFormat="false" ht="15" hidden="false" customHeight="false" outlineLevel="0" collapsed="false">
      <c r="B55" s="8" t="s">
        <v>487</v>
      </c>
      <c r="C55" s="21" t="n">
        <f aca="false">IFERROR(COUNTIFS(Responses!$AO$2:$AO$500,1,Responses!$CD$2:$CD$500,"S1 Deadline Sprinters")/'2-Segments'!$C$17,"")</f>
        <v>0.323529411764706</v>
      </c>
      <c r="D55" s="21" t="n">
        <f aca="false">IFERROR(COUNTIFS(Responses!$AO$2:$AO$500,1,Responses!$CD$2:$CD$500,"S2 Structured Scholars")/'2-Segments'!$C$18,"")</f>
        <v>0.241379310344828</v>
      </c>
      <c r="E55" s="21" t="n">
        <f aca="false">IFERROR(COUNTIFS(Responses!$AO$2:$AO$500,1,Responses!$CD$2:$CD$500,"S3 Overloaded Jugglers")/'2-Segments'!$C$19,"")</f>
        <v>0.15</v>
      </c>
      <c r="F55" s="21" t="n">
        <f aca="false">IFERROR(COUNTIFS(Responses!$AO$2:$AO$500,1,Responses!$CD$2:$CD$500,"S4 Power Instructors")/'2-Segments'!$C$20,"")</f>
        <v>0.0588235294117647</v>
      </c>
      <c r="G55" s="21" t="n">
        <f aca="false">IFERROR(COUNTIFS(Responses!$AO$2:$AO$500,1,Responses!$CD$2:$CD$500,"S5 Reluctant Instructors")/'2-Segments'!$C$21,"")</f>
        <v>0.0666666666666667</v>
      </c>
      <c r="H55" s="21" t="n">
        <f aca="false">IFERROR(COUNTIFS(Responses!$AO$2:$AO$500,1,Responses!$CD$2:$CD$500,"S6 Access-First Learners")/'2-Segments'!$C$22,"")</f>
        <v>0.222222222222222</v>
      </c>
      <c r="I55" s="32" t="n">
        <f aca="false">COUNTIF(Responses!$AO$2:$AO$500,1)/'1-Patterns'!$C$4</f>
        <v>0.201612903225806</v>
      </c>
    </row>
    <row r="56" customFormat="false" ht="15" hidden="false" customHeight="false" outlineLevel="0" collapsed="false">
      <c r="B56" s="8" t="s">
        <v>490</v>
      </c>
      <c r="C56" s="21" t="n">
        <f aca="false">IFERROR(COUNTIFS(Responses!$AP$2:$AP$500,1,Responses!$CD$2:$CD$500,"S1 Deadline Sprinters")/'2-Segments'!$C$17,"")</f>
        <v>0.705882352941177</v>
      </c>
      <c r="D56" s="21" t="n">
        <f aca="false">IFERROR(COUNTIFS(Responses!$AP$2:$AP$500,1,Responses!$CD$2:$CD$500,"S2 Structured Scholars")/'2-Segments'!$C$18,"")</f>
        <v>0.310344827586207</v>
      </c>
      <c r="E56" s="21" t="n">
        <f aca="false">IFERROR(COUNTIFS(Responses!$AP$2:$AP$500,1,Responses!$CD$2:$CD$500,"S3 Overloaded Jugglers")/'2-Segments'!$C$19,"")</f>
        <v>0.45</v>
      </c>
      <c r="F56" s="21" t="n">
        <f aca="false">IFERROR(COUNTIFS(Responses!$AP$2:$AP$500,1,Responses!$CD$2:$CD$500,"S4 Power Instructors")/'2-Segments'!$C$20,"")</f>
        <v>0.176470588235294</v>
      </c>
      <c r="G56" s="21" t="n">
        <f aca="false">IFERROR(COUNTIFS(Responses!$AP$2:$AP$500,1,Responses!$CD$2:$CD$500,"S5 Reluctant Instructors")/'2-Segments'!$C$21,"")</f>
        <v>0.2</v>
      </c>
      <c r="H56" s="21" t="n">
        <f aca="false">IFERROR(COUNTIFS(Responses!$AP$2:$AP$500,1,Responses!$CD$2:$CD$500,"S6 Access-First Learners")/'2-Segments'!$C$22,"")</f>
        <v>0.111111111111111</v>
      </c>
      <c r="I56" s="32" t="n">
        <f aca="false">COUNTIF(Responses!$AP$2:$AP$500,1)/'1-Patterns'!$C$4</f>
        <v>0.395161290322581</v>
      </c>
    </row>
    <row r="57" customFormat="false" ht="15" hidden="false" customHeight="false" outlineLevel="0" collapsed="false">
      <c r="B57" s="8" t="s">
        <v>492</v>
      </c>
      <c r="C57" s="21" t="n">
        <f aca="false">IFERROR(COUNTIFS(Responses!$AQ$2:$AQ$500,1,Responses!$CD$2:$CD$500,"S1 Deadline Sprinters")/'2-Segments'!$C$17,"")</f>
        <v>0.0588235294117647</v>
      </c>
      <c r="D57" s="21" t="n">
        <f aca="false">IFERROR(COUNTIFS(Responses!$AQ$2:$AQ$500,1,Responses!$CD$2:$CD$500,"S2 Structured Scholars")/'2-Segments'!$C$18,"")</f>
        <v>0.482758620689655</v>
      </c>
      <c r="E57" s="21" t="n">
        <f aca="false">IFERROR(COUNTIFS(Responses!$AQ$2:$AQ$500,1,Responses!$CD$2:$CD$500,"S3 Overloaded Jugglers")/'2-Segments'!$C$19,"")</f>
        <v>0.25</v>
      </c>
      <c r="F57" s="21" t="n">
        <f aca="false">IFERROR(COUNTIFS(Responses!$AQ$2:$AQ$500,1,Responses!$CD$2:$CD$500,"S4 Power Instructors")/'2-Segments'!$C$20,"")</f>
        <v>0.470588235294118</v>
      </c>
      <c r="G57" s="21" t="n">
        <f aca="false">IFERROR(COUNTIFS(Responses!$AQ$2:$AQ$500,1,Responses!$CD$2:$CD$500,"S5 Reluctant Instructors")/'2-Segments'!$C$21,"")</f>
        <v>0.6</v>
      </c>
      <c r="H57" s="21" t="n">
        <f aca="false">IFERROR(COUNTIFS(Responses!$AQ$2:$AQ$500,1,Responses!$CD$2:$CD$500,"S6 Access-First Learners")/'2-Segments'!$C$22,"")</f>
        <v>0.111111111111111</v>
      </c>
      <c r="I57" s="32" t="n">
        <f aca="false">COUNTIF(Responses!$AQ$2:$AQ$500,1)/'1-Patterns'!$C$4</f>
        <v>0.314516129032258</v>
      </c>
    </row>
    <row r="58" customFormat="false" ht="15" hidden="false" customHeight="false" outlineLevel="0" collapsed="false">
      <c r="B58" s="8" t="s">
        <v>495</v>
      </c>
      <c r="C58" s="21" t="n">
        <f aca="false">IFERROR(COUNTIFS(Responses!$AR$2:$AR$500,1,Responses!$CD$2:$CD$500,"S1 Deadline Sprinters")/'2-Segments'!$C$17,"")</f>
        <v>0.147058823529412</v>
      </c>
      <c r="D58" s="21" t="n">
        <f aca="false">IFERROR(COUNTIFS(Responses!$AR$2:$AR$500,1,Responses!$CD$2:$CD$500,"S2 Structured Scholars")/'2-Segments'!$C$18,"")</f>
        <v>0.620689655172414</v>
      </c>
      <c r="E58" s="21" t="n">
        <f aca="false">IFERROR(COUNTIFS(Responses!$AR$2:$AR$500,1,Responses!$CD$2:$CD$500,"S3 Overloaded Jugglers")/'2-Segments'!$C$19,"")</f>
        <v>0.55</v>
      </c>
      <c r="F58" s="21" t="n">
        <f aca="false">IFERROR(COUNTIFS(Responses!$AR$2:$AR$500,1,Responses!$CD$2:$CD$500,"S4 Power Instructors")/'2-Segments'!$C$20,"")</f>
        <v>0.647058823529412</v>
      </c>
      <c r="G58" s="21" t="n">
        <f aca="false">IFERROR(COUNTIFS(Responses!$AR$2:$AR$500,1,Responses!$CD$2:$CD$500,"S5 Reluctant Instructors")/'2-Segments'!$C$21,"")</f>
        <v>0.666666666666667</v>
      </c>
      <c r="H58" s="21" t="n">
        <f aca="false">IFERROR(COUNTIFS(Responses!$AR$2:$AR$500,1,Responses!$CD$2:$CD$500,"S6 Access-First Learners")/'2-Segments'!$C$22,"")</f>
        <v>0.444444444444444</v>
      </c>
      <c r="I58" s="32" t="n">
        <f aca="false">COUNTIF(Responses!$AR$2:$AR$500,1)/'1-Patterns'!$C$4</f>
        <v>0.475806451612903</v>
      </c>
    </row>
    <row r="59" customFormat="false" ht="15" hidden="false" customHeight="false" outlineLevel="0" collapsed="false">
      <c r="B59" s="8" t="s">
        <v>498</v>
      </c>
      <c r="C59" s="21" t="n">
        <f aca="false">IFERROR(COUNTIFS(Responses!$AS$2:$AS$500,1,Responses!$CD$2:$CD$500,"S1 Deadline Sprinters")/'2-Segments'!$C$17,"")</f>
        <v>0.117647058823529</v>
      </c>
      <c r="D59" s="21" t="n">
        <f aca="false">IFERROR(COUNTIFS(Responses!$AS$2:$AS$500,1,Responses!$CD$2:$CD$500,"S2 Structured Scholars")/'2-Segments'!$C$18,"")</f>
        <v>0.137931034482759</v>
      </c>
      <c r="E59" s="21" t="n">
        <f aca="false">IFERROR(COUNTIFS(Responses!$AS$2:$AS$500,1,Responses!$CD$2:$CD$500,"S3 Overloaded Jugglers")/'2-Segments'!$C$19,"")</f>
        <v>0.25</v>
      </c>
      <c r="F59" s="21" t="n">
        <f aca="false">IFERROR(COUNTIFS(Responses!$AS$2:$AS$500,1,Responses!$CD$2:$CD$500,"S4 Power Instructors")/'2-Segments'!$C$20,"")</f>
        <v>0.0588235294117647</v>
      </c>
      <c r="G59" s="21" t="n">
        <f aca="false">IFERROR(COUNTIFS(Responses!$AS$2:$AS$500,1,Responses!$CD$2:$CD$500,"S5 Reluctant Instructors")/'2-Segments'!$C$21,"")</f>
        <v>0.0666666666666667</v>
      </c>
      <c r="H59" s="21" t="n">
        <f aca="false">IFERROR(COUNTIFS(Responses!$AS$2:$AS$500,1,Responses!$CD$2:$CD$500,"S6 Access-First Learners")/'2-Segments'!$C$22,"")</f>
        <v>0.222222222222222</v>
      </c>
      <c r="I59" s="32" t="n">
        <f aca="false">COUNTIF(Responses!$AS$2:$AS$500,1)/'1-Patterns'!$C$4</f>
        <v>0.137096774193548</v>
      </c>
    </row>
    <row r="60" customFormat="false" ht="15" hidden="false" customHeight="false" outlineLevel="0" collapsed="false">
      <c r="B60" s="29" t="s">
        <v>1207</v>
      </c>
      <c r="C60" s="30"/>
      <c r="D60" s="30"/>
      <c r="E60" s="30"/>
      <c r="F60" s="30"/>
      <c r="G60" s="30"/>
      <c r="H60" s="30"/>
      <c r="I60" s="30"/>
    </row>
    <row r="61" customFormat="false" ht="15" hidden="false" customHeight="false" outlineLevel="0" collapsed="false">
      <c r="B61" s="8" t="s">
        <v>500</v>
      </c>
      <c r="C61" s="21" t="n">
        <f aca="false">IFERROR(COUNTIFS(Responses!$AT$2:$AT$500,"email",Responses!$CD$2:$CD$500,"S1 Deadline Sprinters")/'2-Segments'!$C$17,"")</f>
        <v>0.147058823529412</v>
      </c>
      <c r="D61" s="21" t="n">
        <f aca="false">IFERROR(COUNTIFS(Responses!$AT$2:$AT$500,"email",Responses!$CD$2:$CD$500,"S2 Structured Scholars")/'2-Segments'!$C$18,"")</f>
        <v>0.586206896551724</v>
      </c>
      <c r="E61" s="21" t="n">
        <f aca="false">IFERROR(COUNTIFS(Responses!$AT$2:$AT$500,"email",Responses!$CD$2:$CD$500,"S3 Overloaded Jugglers")/'2-Segments'!$C$19,"")</f>
        <v>0.8</v>
      </c>
      <c r="F61" s="21" t="n">
        <f aca="false">IFERROR(COUNTIFS(Responses!$AT$2:$AT$500,"email",Responses!$CD$2:$CD$500,"S4 Power Instructors")/'2-Segments'!$C$20,"")</f>
        <v>0.882352941176471</v>
      </c>
      <c r="G61" s="21" t="n">
        <f aca="false">IFERROR(COUNTIFS(Responses!$AT$2:$AT$500,"email",Responses!$CD$2:$CD$500,"S5 Reluctant Instructors")/'2-Segments'!$C$21,"")</f>
        <v>0.733333333333333</v>
      </c>
      <c r="H61" s="21" t="n">
        <f aca="false">IFERROR(COUNTIFS(Responses!$AT$2:$AT$500,"email",Responses!$CD$2:$CD$500,"S6 Access-First Learners")/'2-Segments'!$C$22,"")</f>
        <v>0.888888888888889</v>
      </c>
      <c r="I61" s="32" t="n">
        <f aca="false">COUNTIF(Responses!$AT$2:$AT$500,"email")/'1-Patterns'!$C$4</f>
        <v>0.580645161290323</v>
      </c>
    </row>
    <row r="62" customFormat="false" ht="15" hidden="false" customHeight="false" outlineLevel="0" collapsed="false">
      <c r="B62" s="8" t="s">
        <v>502</v>
      </c>
      <c r="C62" s="21" t="n">
        <f aca="false">IFERROR(COUNTIFS(Responses!$AT$2:$AT$500,"push",Responses!$CD$2:$CD$500,"S1 Deadline Sprinters")/'2-Segments'!$C$17,"")</f>
        <v>0.588235294117647</v>
      </c>
      <c r="D62" s="21" t="n">
        <f aca="false">IFERROR(COUNTIFS(Responses!$AT$2:$AT$500,"push",Responses!$CD$2:$CD$500,"S2 Structured Scholars")/'2-Segments'!$C$18,"")</f>
        <v>0.137931034482759</v>
      </c>
      <c r="E62" s="21" t="n">
        <f aca="false">IFERROR(COUNTIFS(Responses!$AT$2:$AT$500,"push",Responses!$CD$2:$CD$500,"S3 Overloaded Jugglers")/'2-Segments'!$C$19,"")</f>
        <v>0.05</v>
      </c>
      <c r="F62" s="21" t="n">
        <f aca="false">IFERROR(COUNTIFS(Responses!$AT$2:$AT$500,"push",Responses!$CD$2:$CD$500,"S4 Power Instructors")/'2-Segments'!$C$20,"")</f>
        <v>0</v>
      </c>
      <c r="G62" s="21" t="n">
        <f aca="false">IFERROR(COUNTIFS(Responses!$AT$2:$AT$500,"push",Responses!$CD$2:$CD$500,"S5 Reluctant Instructors")/'2-Segments'!$C$21,"")</f>
        <v>0</v>
      </c>
      <c r="H62" s="21" t="n">
        <f aca="false">IFERROR(COUNTIFS(Responses!$AT$2:$AT$500,"push",Responses!$CD$2:$CD$500,"S6 Access-First Learners")/'2-Segments'!$C$22,"")</f>
        <v>0</v>
      </c>
      <c r="I62" s="32" t="n">
        <f aca="false">COUNTIF(Responses!$AT$2:$AT$500,"push")/'1-Patterns'!$C$4</f>
        <v>0.201612903225806</v>
      </c>
    </row>
    <row r="63" customFormat="false" ht="15" hidden="false" customHeight="false" outlineLevel="0" collapsed="false">
      <c r="B63" s="8" t="s">
        <v>505</v>
      </c>
      <c r="C63" s="21" t="n">
        <f aca="false">IFERROR(COUNTIFS(Responses!$AT$2:$AT$500,"inapp",Responses!$CD$2:$CD$500,"S1 Deadline Sprinters")/'2-Segments'!$C$17,"")</f>
        <v>0.205882352941176</v>
      </c>
      <c r="D63" s="21" t="n">
        <f aca="false">IFERROR(COUNTIFS(Responses!$AT$2:$AT$500,"inapp",Responses!$CD$2:$CD$500,"S2 Structured Scholars")/'2-Segments'!$C$18,"")</f>
        <v>0.206896551724138</v>
      </c>
      <c r="E63" s="21" t="n">
        <f aca="false">IFERROR(COUNTIFS(Responses!$AT$2:$AT$500,"inapp",Responses!$CD$2:$CD$500,"S3 Overloaded Jugglers")/'2-Segments'!$C$19,"")</f>
        <v>0.1</v>
      </c>
      <c r="F63" s="21" t="n">
        <f aca="false">IFERROR(COUNTIFS(Responses!$AT$2:$AT$500,"inapp",Responses!$CD$2:$CD$500,"S4 Power Instructors")/'2-Segments'!$C$20,"")</f>
        <v>0.0588235294117647</v>
      </c>
      <c r="G63" s="21" t="n">
        <f aca="false">IFERROR(COUNTIFS(Responses!$AT$2:$AT$500,"inapp",Responses!$CD$2:$CD$500,"S5 Reluctant Instructors")/'2-Segments'!$C$21,"")</f>
        <v>0.0666666666666667</v>
      </c>
      <c r="H63" s="21" t="n">
        <f aca="false">IFERROR(COUNTIFS(Responses!$AT$2:$AT$500,"inapp",Responses!$CD$2:$CD$500,"S6 Access-First Learners")/'2-Segments'!$C$22,"")</f>
        <v>0.111111111111111</v>
      </c>
      <c r="I63" s="32" t="n">
        <f aca="false">COUNTIF(Responses!$AT$2:$AT$500,"inapp")/'1-Patterns'!$C$4</f>
        <v>0.145161290322581</v>
      </c>
    </row>
    <row r="64" customFormat="false" ht="15" hidden="false" customHeight="false" outlineLevel="0" collapsed="false">
      <c r="B64" s="8" t="s">
        <v>508</v>
      </c>
      <c r="C64" s="21" t="n">
        <f aca="false">IFERROR(COUNTIFS(Responses!$AT$2:$AT$500,"off",Responses!$CD$2:$CD$500,"S1 Deadline Sprinters")/'2-Segments'!$C$17,"")</f>
        <v>0.0588235294117647</v>
      </c>
      <c r="D64" s="21" t="n">
        <f aca="false">IFERROR(COUNTIFS(Responses!$AT$2:$AT$500,"off",Responses!$CD$2:$CD$500,"S2 Structured Scholars")/'2-Segments'!$C$18,"")</f>
        <v>0.0689655172413793</v>
      </c>
      <c r="E64" s="21" t="n">
        <f aca="false">IFERROR(COUNTIFS(Responses!$AT$2:$AT$500,"off",Responses!$CD$2:$CD$500,"S3 Overloaded Jugglers")/'2-Segments'!$C$19,"")</f>
        <v>0</v>
      </c>
      <c r="F64" s="21" t="n">
        <f aca="false">IFERROR(COUNTIFS(Responses!$AT$2:$AT$500,"off",Responses!$CD$2:$CD$500,"S4 Power Instructors")/'2-Segments'!$C$20,"")</f>
        <v>0.0588235294117647</v>
      </c>
      <c r="G64" s="21" t="n">
        <f aca="false">IFERROR(COUNTIFS(Responses!$AT$2:$AT$500,"off",Responses!$CD$2:$CD$500,"S5 Reluctant Instructors")/'2-Segments'!$C$21,"")</f>
        <v>0.0666666666666667</v>
      </c>
      <c r="H64" s="21" t="n">
        <f aca="false">IFERROR(COUNTIFS(Responses!$AT$2:$AT$500,"off",Responses!$CD$2:$CD$500,"S6 Access-First Learners")/'2-Segments'!$C$22,"")</f>
        <v>0</v>
      </c>
      <c r="I64" s="32" t="n">
        <f aca="false">COUNTIF(Responses!$AT$2:$AT$500,"off")/'1-Patterns'!$C$4</f>
        <v>0.0483870967741936</v>
      </c>
    </row>
    <row r="65" customFormat="false" ht="15" hidden="false" customHeight="false" outlineLevel="0" collapsed="false">
      <c r="B65" s="8" t="s">
        <v>511</v>
      </c>
      <c r="C65" s="21" t="n">
        <f aca="false">IFERROR(COUNTIFS(Responses!$AT$2:$AT$500,"dontknow",Responses!$CD$2:$CD$500,"S1 Deadline Sprinters")/'2-Segments'!$C$17,"")</f>
        <v>0</v>
      </c>
      <c r="D65" s="21" t="n">
        <f aca="false">IFERROR(COUNTIFS(Responses!$AT$2:$AT$500,"dontknow",Responses!$CD$2:$CD$500,"S2 Structured Scholars")/'2-Segments'!$C$18,"")</f>
        <v>0</v>
      </c>
      <c r="E65" s="21" t="n">
        <f aca="false">IFERROR(COUNTIFS(Responses!$AT$2:$AT$500,"dontknow",Responses!$CD$2:$CD$500,"S3 Overloaded Jugglers")/'2-Segments'!$C$19,"")</f>
        <v>0.05</v>
      </c>
      <c r="F65" s="21" t="n">
        <f aca="false">IFERROR(COUNTIFS(Responses!$AT$2:$AT$500,"dontknow",Responses!$CD$2:$CD$500,"S4 Power Instructors")/'2-Segments'!$C$20,"")</f>
        <v>0</v>
      </c>
      <c r="G65" s="21" t="n">
        <f aca="false">IFERROR(COUNTIFS(Responses!$AT$2:$AT$500,"dontknow",Responses!$CD$2:$CD$500,"S5 Reluctant Instructors")/'2-Segments'!$C$21,"")</f>
        <v>0.133333333333333</v>
      </c>
      <c r="H65" s="21" t="n">
        <f aca="false">IFERROR(COUNTIFS(Responses!$AT$2:$AT$500,"dontknow",Responses!$CD$2:$CD$500,"S6 Access-First Learners")/'2-Segments'!$C$22,"")</f>
        <v>0</v>
      </c>
      <c r="I65" s="32" t="n">
        <f aca="false">COUNTIF(Responses!$AT$2:$AT$500,"dontknow")/'1-Patterns'!$C$4</f>
        <v>0.0241935483870968</v>
      </c>
    </row>
    <row r="66" customFormat="false" ht="15" hidden="false" customHeight="false" outlineLevel="0" collapsed="false">
      <c r="B66" s="29" t="s">
        <v>1208</v>
      </c>
      <c r="C66" s="30"/>
      <c r="D66" s="30"/>
      <c r="E66" s="30"/>
      <c r="F66" s="30"/>
      <c r="G66" s="30"/>
      <c r="H66" s="30"/>
      <c r="I66" s="30"/>
    </row>
    <row r="67" customFormat="false" ht="15" hidden="false" customHeight="false" outlineLevel="0" collapsed="false">
      <c r="B67" s="8" t="s">
        <v>525</v>
      </c>
      <c r="C67" s="21" t="n">
        <f aca="false">IFERROR(COUNTIFS(Responses!$AV$2:$AV$500,1,Responses!$CD$2:$CD$500,"S1 Deadline Sprinters")/'2-Segments'!$C$17,"")</f>
        <v>0.0882352941176471</v>
      </c>
      <c r="D67" s="21" t="n">
        <f aca="false">IFERROR(COUNTIFS(Responses!$AV$2:$AV$500,1,Responses!$CD$2:$CD$500,"S2 Structured Scholars")/'2-Segments'!$C$18,"")</f>
        <v>0.241379310344828</v>
      </c>
      <c r="E67" s="21" t="n">
        <f aca="false">IFERROR(COUNTIFS(Responses!$AV$2:$AV$500,1,Responses!$CD$2:$CD$500,"S3 Overloaded Jugglers")/'2-Segments'!$C$19,"")</f>
        <v>0.2</v>
      </c>
      <c r="F67" s="21" t="n">
        <f aca="false">IFERROR(COUNTIFS(Responses!$AV$2:$AV$500,1,Responses!$CD$2:$CD$500,"S4 Power Instructors")/'2-Segments'!$C$20,"")</f>
        <v>0.470588235294118</v>
      </c>
      <c r="G67" s="21" t="n">
        <f aca="false">IFERROR(COUNTIFS(Responses!$AV$2:$AV$500,1,Responses!$CD$2:$CD$500,"S5 Reluctant Instructors")/'2-Segments'!$C$21,"")</f>
        <v>0.533333333333333</v>
      </c>
      <c r="H67" s="21" t="n">
        <f aca="false">IFERROR(COUNTIFS(Responses!$AV$2:$AV$500,1,Responses!$CD$2:$CD$500,"S6 Access-First Learners")/'2-Segments'!$C$22,"")</f>
        <v>0.111111111111111</v>
      </c>
      <c r="I67" s="32" t="n">
        <f aca="false">COUNTIF(Responses!$AV$2:$AV$500,1)/'1-Patterns'!$C$4</f>
        <v>0.25</v>
      </c>
    </row>
    <row r="68" customFormat="false" ht="15" hidden="false" customHeight="false" outlineLevel="0" collapsed="false">
      <c r="B68" s="8" t="s">
        <v>527</v>
      </c>
      <c r="C68" s="21" t="n">
        <f aca="false">IFERROR(COUNTIFS(Responses!$AW$2:$AW$500,1,Responses!$CD$2:$CD$500,"S1 Deadline Sprinters")/'2-Segments'!$C$17,"")</f>
        <v>0.529411764705882</v>
      </c>
      <c r="D68" s="21" t="n">
        <f aca="false">IFERROR(COUNTIFS(Responses!$AW$2:$AW$500,1,Responses!$CD$2:$CD$500,"S2 Structured Scholars")/'2-Segments'!$C$18,"")</f>
        <v>0.793103448275862</v>
      </c>
      <c r="E68" s="21" t="n">
        <f aca="false">IFERROR(COUNTIFS(Responses!$AW$2:$AW$500,1,Responses!$CD$2:$CD$500,"S3 Overloaded Jugglers")/'2-Segments'!$C$19,"")</f>
        <v>0.75</v>
      </c>
      <c r="F68" s="21" t="n">
        <f aca="false">IFERROR(COUNTIFS(Responses!$AW$2:$AW$500,1,Responses!$CD$2:$CD$500,"S4 Power Instructors")/'2-Segments'!$C$20,"")</f>
        <v>0.823529411764706</v>
      </c>
      <c r="G68" s="21" t="n">
        <f aca="false">IFERROR(COUNTIFS(Responses!$AW$2:$AW$500,1,Responses!$CD$2:$CD$500,"S5 Reluctant Instructors")/'2-Segments'!$C$21,"")</f>
        <v>0.866666666666667</v>
      </c>
      <c r="H68" s="21" t="n">
        <f aca="false">IFERROR(COUNTIFS(Responses!$AW$2:$AW$500,1,Responses!$CD$2:$CD$500,"S6 Access-First Learners")/'2-Segments'!$C$22,"")</f>
        <v>0.888888888888889</v>
      </c>
      <c r="I68" s="32" t="n">
        <f aca="false">COUNTIF(Responses!$AW$2:$AW$500,1)/'1-Patterns'!$C$4</f>
        <v>0.733870967741936</v>
      </c>
    </row>
    <row r="69" customFormat="false" ht="15" hidden="false" customHeight="false" outlineLevel="0" collapsed="false">
      <c r="B69" s="8" t="s">
        <v>530</v>
      </c>
      <c r="C69" s="21" t="n">
        <f aca="false">IFERROR(COUNTIFS(Responses!$AX$2:$AX$500,1,Responses!$CD$2:$CD$500,"S1 Deadline Sprinters")/'2-Segments'!$C$17,"")</f>
        <v>0.176470588235294</v>
      </c>
      <c r="D69" s="21" t="n">
        <f aca="false">IFERROR(COUNTIFS(Responses!$AX$2:$AX$500,1,Responses!$CD$2:$CD$500,"S2 Structured Scholars")/'2-Segments'!$C$18,"")</f>
        <v>0.793103448275862</v>
      </c>
      <c r="E69" s="21" t="n">
        <f aca="false">IFERROR(COUNTIFS(Responses!$AX$2:$AX$500,1,Responses!$CD$2:$CD$500,"S3 Overloaded Jugglers")/'2-Segments'!$C$19,"")</f>
        <v>0.2</v>
      </c>
      <c r="F69" s="21" t="n">
        <f aca="false">IFERROR(COUNTIFS(Responses!$AX$2:$AX$500,1,Responses!$CD$2:$CD$500,"S4 Power Instructors")/'2-Segments'!$C$20,"")</f>
        <v>0.235294117647059</v>
      </c>
      <c r="G69" s="21" t="n">
        <f aca="false">IFERROR(COUNTIFS(Responses!$AX$2:$AX$500,1,Responses!$CD$2:$CD$500,"S5 Reluctant Instructors")/'2-Segments'!$C$21,"")</f>
        <v>0.133333333333333</v>
      </c>
      <c r="H69" s="21" t="n">
        <f aca="false">IFERROR(COUNTIFS(Responses!$AX$2:$AX$500,1,Responses!$CD$2:$CD$500,"S6 Access-First Learners")/'2-Segments'!$C$22,"")</f>
        <v>0.666666666666667</v>
      </c>
      <c r="I69" s="32" t="n">
        <f aca="false">COUNTIF(Responses!$AX$2:$AX$500,1)/'1-Patterns'!$C$4</f>
        <v>0.362903225806452</v>
      </c>
    </row>
    <row r="70" customFormat="false" ht="15" hidden="false" customHeight="false" outlineLevel="0" collapsed="false">
      <c r="B70" s="8" t="s">
        <v>533</v>
      </c>
      <c r="C70" s="21" t="n">
        <f aca="false">IFERROR(COUNTIFS(Responses!$AY$2:$AY$500,1,Responses!$CD$2:$CD$500,"S1 Deadline Sprinters")/'2-Segments'!$C$17,"")</f>
        <v>0.911764705882353</v>
      </c>
      <c r="D70" s="21" t="n">
        <f aca="false">IFERROR(COUNTIFS(Responses!$AY$2:$AY$500,1,Responses!$CD$2:$CD$500,"S2 Structured Scholars")/'2-Segments'!$C$18,"")</f>
        <v>0.620689655172414</v>
      </c>
      <c r="E70" s="21" t="n">
        <f aca="false">IFERROR(COUNTIFS(Responses!$AY$2:$AY$500,1,Responses!$CD$2:$CD$500,"S3 Overloaded Jugglers")/'2-Segments'!$C$19,"")</f>
        <v>0.8</v>
      </c>
      <c r="F70" s="21" t="n">
        <f aca="false">IFERROR(COUNTIFS(Responses!$AY$2:$AY$500,1,Responses!$CD$2:$CD$500,"S4 Power Instructors")/'2-Segments'!$C$20,"")</f>
        <v>0.235294117647059</v>
      </c>
      <c r="G70" s="21" t="n">
        <f aca="false">IFERROR(COUNTIFS(Responses!$AY$2:$AY$500,1,Responses!$CD$2:$CD$500,"S5 Reluctant Instructors")/'2-Segments'!$C$21,"")</f>
        <v>0.133333333333333</v>
      </c>
      <c r="H70" s="21" t="n">
        <f aca="false">IFERROR(COUNTIFS(Responses!$AY$2:$AY$500,1,Responses!$CD$2:$CD$500,"S6 Access-First Learners")/'2-Segments'!$C$22,"")</f>
        <v>0.444444444444444</v>
      </c>
      <c r="I70" s="32" t="n">
        <f aca="false">COUNTIF(Responses!$AY$2:$AY$500,1)/'1-Patterns'!$C$4</f>
        <v>0.604838709677419</v>
      </c>
    </row>
    <row r="71" customFormat="false" ht="15" hidden="false" customHeight="false" outlineLevel="0" collapsed="false">
      <c r="B71" s="8" t="s">
        <v>535</v>
      </c>
      <c r="C71" s="21" t="n">
        <f aca="false">IFERROR(COUNTIFS(Responses!$AZ$2:$AZ$500,1,Responses!$CD$2:$CD$500,"S1 Deadline Sprinters")/'2-Segments'!$C$17,"")</f>
        <v>0.264705882352941</v>
      </c>
      <c r="D71" s="21" t="n">
        <f aca="false">IFERROR(COUNTIFS(Responses!$AZ$2:$AZ$500,1,Responses!$CD$2:$CD$500,"S2 Structured Scholars")/'2-Segments'!$C$18,"")</f>
        <v>0.206896551724138</v>
      </c>
      <c r="E71" s="21" t="n">
        <f aca="false">IFERROR(COUNTIFS(Responses!$AZ$2:$AZ$500,1,Responses!$CD$2:$CD$500,"S3 Overloaded Jugglers")/'2-Segments'!$C$19,"")</f>
        <v>0.65</v>
      </c>
      <c r="F71" s="21" t="n">
        <f aca="false">IFERROR(COUNTIFS(Responses!$AZ$2:$AZ$500,1,Responses!$CD$2:$CD$500,"S4 Power Instructors")/'2-Segments'!$C$20,"")</f>
        <v>1</v>
      </c>
      <c r="G71" s="21" t="n">
        <f aca="false">IFERROR(COUNTIFS(Responses!$AZ$2:$AZ$500,1,Responses!$CD$2:$CD$500,"S5 Reluctant Instructors")/'2-Segments'!$C$21,"")</f>
        <v>0.933333333333333</v>
      </c>
      <c r="H71" s="21" t="n">
        <f aca="false">IFERROR(COUNTIFS(Responses!$AZ$2:$AZ$500,1,Responses!$CD$2:$CD$500,"S6 Access-First Learners")/'2-Segments'!$C$22,"")</f>
        <v>0.333333333333333</v>
      </c>
      <c r="I71" s="32" t="n">
        <f aca="false">COUNTIF(Responses!$AZ$2:$AZ$500,1)/'1-Patterns'!$C$4</f>
        <v>0.5</v>
      </c>
    </row>
    <row r="72" customFormat="false" ht="15" hidden="false" customHeight="false" outlineLevel="0" collapsed="false">
      <c r="B72" s="8" t="s">
        <v>537</v>
      </c>
      <c r="C72" s="21" t="n">
        <f aca="false">IFERROR(COUNTIFS(Responses!$BA$2:$BA$500,1,Responses!$CD$2:$CD$500,"S1 Deadline Sprinters")/'2-Segments'!$C$17,"")</f>
        <v>0</v>
      </c>
      <c r="D72" s="21" t="n">
        <f aca="false">IFERROR(COUNTIFS(Responses!$BA$2:$BA$500,1,Responses!$CD$2:$CD$500,"S2 Structured Scholars")/'2-Segments'!$C$18,"")</f>
        <v>0</v>
      </c>
      <c r="E72" s="21" t="n">
        <f aca="false">IFERROR(COUNTIFS(Responses!$BA$2:$BA$500,1,Responses!$CD$2:$CD$500,"S3 Overloaded Jugglers")/'2-Segments'!$C$19,"")</f>
        <v>0</v>
      </c>
      <c r="F72" s="21" t="n">
        <f aca="false">IFERROR(COUNTIFS(Responses!$BA$2:$BA$500,1,Responses!$CD$2:$CD$500,"S4 Power Instructors")/'2-Segments'!$C$20,"")</f>
        <v>0</v>
      </c>
      <c r="G72" s="21" t="n">
        <f aca="false">IFERROR(COUNTIFS(Responses!$BA$2:$BA$500,1,Responses!$CD$2:$CD$500,"S5 Reluctant Instructors")/'2-Segments'!$C$21,"")</f>
        <v>0</v>
      </c>
      <c r="H72" s="21" t="n">
        <f aca="false">IFERROR(COUNTIFS(Responses!$BA$2:$BA$500,1,Responses!$CD$2:$CD$500,"S6 Access-First Learners")/'2-Segments'!$C$22,"")</f>
        <v>0</v>
      </c>
      <c r="I72" s="32" t="n">
        <f aca="false">COUNTIF(Responses!$BA$2:$BA$500,1)/'1-Patterns'!$C$4</f>
        <v>0</v>
      </c>
    </row>
    <row r="73" customFormat="false" ht="15" hidden="false" customHeight="false" outlineLevel="0" collapsed="false">
      <c r="B73" s="29" t="s">
        <v>1209</v>
      </c>
      <c r="C73" s="30"/>
      <c r="D73" s="30"/>
      <c r="E73" s="30"/>
      <c r="F73" s="30"/>
      <c r="G73" s="30"/>
      <c r="H73" s="30"/>
      <c r="I73" s="30"/>
    </row>
    <row r="74" customFormat="false" ht="15" hidden="false" customHeight="false" outlineLevel="0" collapsed="false">
      <c r="B74" s="8" t="s">
        <v>1151</v>
      </c>
      <c r="C74" s="22" t="n">
        <f aca="false">IFERROR(AVERAGEIFS(Responses!$BB$2:$BB$500,Responses!$CD$2:$CD$500,"S1 Deadline Sprinters"),"")</f>
        <v>4.05882352941176</v>
      </c>
      <c r="D74" s="22" t="n">
        <f aca="false">IFERROR(AVERAGEIFS(Responses!$BB$2:$BB$500,Responses!$CD$2:$CD$500,"S2 Structured Scholars"),"")</f>
        <v>3.03448275862069</v>
      </c>
      <c r="E74" s="22" t="n">
        <f aca="false">IFERROR(AVERAGEIFS(Responses!$BB$2:$BB$500,Responses!$CD$2:$CD$500,"S3 Overloaded Jugglers"),"")</f>
        <v>3.65</v>
      </c>
      <c r="F74" s="22" t="n">
        <f aca="false">IFERROR(AVERAGEIFS(Responses!$BB$2:$BB$500,Responses!$CD$2:$CD$500,"S4 Power Instructors"),"")</f>
        <v>4.17647058823529</v>
      </c>
      <c r="G74" s="22" t="n">
        <f aca="false">IFERROR(AVERAGEIFS(Responses!$BB$2:$BB$500,Responses!$CD$2:$CD$500,"S5 Reluctant Instructors"),"")</f>
        <v>3.26666666666667</v>
      </c>
      <c r="H74" s="22" t="n">
        <f aca="false">IFERROR(AVERAGEIFS(Responses!$BB$2:$BB$500,Responses!$CD$2:$CD$500,"S6 Access-First Learners"),"")</f>
        <v>2</v>
      </c>
      <c r="I74" s="31" t="n">
        <f aca="false">AVERAGE(Responses!$BB$2:$BB$500)</f>
        <v>3.5241935483871</v>
      </c>
    </row>
    <row r="75" customFormat="false" ht="15" hidden="false" customHeight="false" outlineLevel="0" collapsed="false">
      <c r="B75" s="8" t="s">
        <v>1152</v>
      </c>
      <c r="C75" s="22" t="n">
        <f aca="false">IFERROR(AVERAGEIFS(Responses!$BC$2:$BC$500,Responses!$CD$2:$CD$500,"S1 Deadline Sprinters"),"")</f>
        <v>3.70588235294118</v>
      </c>
      <c r="D75" s="22" t="n">
        <f aca="false">IFERROR(AVERAGEIFS(Responses!$BC$2:$BC$500,Responses!$CD$2:$CD$500,"S2 Structured Scholars"),"")</f>
        <v>4.89655172413793</v>
      </c>
      <c r="E75" s="22" t="n">
        <f aca="false">IFERROR(AVERAGEIFS(Responses!$BC$2:$BC$500,Responses!$CD$2:$CD$500,"S3 Overloaded Jugglers"),"")</f>
        <v>4.55</v>
      </c>
      <c r="F75" s="22" t="n">
        <f aca="false">IFERROR(AVERAGEIFS(Responses!$BC$2:$BC$500,Responses!$CD$2:$CD$500,"S4 Power Instructors"),"")</f>
        <v>3.70588235294118</v>
      </c>
      <c r="G75" s="22" t="n">
        <f aca="false">IFERROR(AVERAGEIFS(Responses!$BC$2:$BC$500,Responses!$CD$2:$CD$500,"S5 Reluctant Instructors"),"")</f>
        <v>4.66666666666667</v>
      </c>
      <c r="H75" s="22" t="n">
        <f aca="false">IFERROR(AVERAGEIFS(Responses!$BC$2:$BC$500,Responses!$CD$2:$CD$500,"S6 Access-First Learners"),"")</f>
        <v>5.77777777777778</v>
      </c>
      <c r="I75" s="31" t="n">
        <f aca="false">AVERAGE(Responses!$BC$2:$BC$500)</f>
        <v>4.38709677419355</v>
      </c>
    </row>
    <row r="76" customFormat="false" ht="15" hidden="false" customHeight="false" outlineLevel="0" collapsed="false">
      <c r="B76" s="8" t="s">
        <v>1153</v>
      </c>
      <c r="C76" s="22" t="n">
        <f aca="false">IFERROR(AVERAGEIFS(Responses!$BD$2:$BD$500,Responses!$CD$2:$CD$500,"S1 Deadline Sprinters"),"")</f>
        <v>4.82352941176471</v>
      </c>
      <c r="D76" s="22" t="n">
        <f aca="false">IFERROR(AVERAGEIFS(Responses!$BD$2:$BD$500,Responses!$CD$2:$CD$500,"S2 Structured Scholars"),"")</f>
        <v>4.06896551724138</v>
      </c>
      <c r="E76" s="22" t="n">
        <f aca="false">IFERROR(AVERAGEIFS(Responses!$BD$2:$BD$500,Responses!$CD$2:$CD$500,"S3 Overloaded Jugglers"),"")</f>
        <v>3.5</v>
      </c>
      <c r="F76" s="22" t="n">
        <f aca="false">IFERROR(AVERAGEIFS(Responses!$BD$2:$BD$500,Responses!$CD$2:$CD$500,"S4 Power Instructors"),"")</f>
        <v>3.76470588235294</v>
      </c>
      <c r="G76" s="22" t="n">
        <f aca="false">IFERROR(AVERAGEIFS(Responses!$BD$2:$BD$500,Responses!$CD$2:$CD$500,"S5 Reluctant Instructors"),"")</f>
        <v>3.06666666666667</v>
      </c>
      <c r="H76" s="22" t="n">
        <f aca="false">IFERROR(AVERAGEIFS(Responses!$BD$2:$BD$500,Responses!$CD$2:$CD$500,"S6 Access-First Learners"),"")</f>
        <v>3.66666666666667</v>
      </c>
      <c r="I76" s="31" t="n">
        <f aca="false">AVERAGE(Responses!$BD$2:$BD$500)</f>
        <v>3.99193548387097</v>
      </c>
    </row>
    <row r="77" customFormat="false" ht="15" hidden="false" customHeight="false" outlineLevel="0" collapsed="false">
      <c r="B77" s="8" t="s">
        <v>1154</v>
      </c>
      <c r="C77" s="22" t="n">
        <f aca="false">IFERROR(AVERAGEIFS(Responses!$BE$2:$BE$500,Responses!$CD$2:$CD$500,"S1 Deadline Sprinters"),"")</f>
        <v>5.32352941176471</v>
      </c>
      <c r="D77" s="22" t="n">
        <f aca="false">IFERROR(AVERAGEIFS(Responses!$BE$2:$BE$500,Responses!$CD$2:$CD$500,"S2 Structured Scholars"),"")</f>
        <v>4.58620689655172</v>
      </c>
      <c r="E77" s="22" t="n">
        <f aca="false">IFERROR(AVERAGEIFS(Responses!$BE$2:$BE$500,Responses!$CD$2:$CD$500,"S3 Overloaded Jugglers"),"")</f>
        <v>5.35</v>
      </c>
      <c r="F77" s="22" t="n">
        <f aca="false">IFERROR(AVERAGEIFS(Responses!$BE$2:$BE$500,Responses!$CD$2:$CD$500,"S4 Power Instructors"),"")</f>
        <v>5.41176470588235</v>
      </c>
      <c r="G77" s="22" t="n">
        <f aca="false">IFERROR(AVERAGEIFS(Responses!$BE$2:$BE$500,Responses!$CD$2:$CD$500,"S5 Reluctant Instructors"),"")</f>
        <v>5.06666666666667</v>
      </c>
      <c r="H77" s="22" t="n">
        <f aca="false">IFERROR(AVERAGEIFS(Responses!$BE$2:$BE$500,Responses!$CD$2:$CD$500,"S6 Access-First Learners"),"")</f>
        <v>4.44444444444445</v>
      </c>
      <c r="I77" s="31" t="n">
        <f aca="false">AVERAGE(Responses!$BE$2:$BE$500)</f>
        <v>5.07258064516129</v>
      </c>
    </row>
    <row r="78" customFormat="false" ht="23.85" hidden="false" customHeight="false" outlineLevel="0" collapsed="false">
      <c r="B78" s="8" t="s">
        <v>1210</v>
      </c>
      <c r="C78" s="22" t="n">
        <f aca="false">IFERROR(AVERAGEIFS(Responses!$BF$2:$BF$500,Responses!$CD$2:$CD$500,"S1 Deadline Sprinters"),"")</f>
        <v>2.79411764705882</v>
      </c>
      <c r="D78" s="22" t="n">
        <f aca="false">IFERROR(AVERAGEIFS(Responses!$BF$2:$BF$500,Responses!$CD$2:$CD$500,"S2 Structured Scholars"),"")</f>
        <v>3.72413793103448</v>
      </c>
      <c r="E78" s="22" t="n">
        <f aca="false">IFERROR(AVERAGEIFS(Responses!$BF$2:$BF$500,Responses!$CD$2:$CD$500,"S3 Overloaded Jugglers"),"")</f>
        <v>3.75</v>
      </c>
      <c r="F78" s="22" t="n">
        <f aca="false">IFERROR(AVERAGEIFS(Responses!$BF$2:$BF$500,Responses!$CD$2:$CD$500,"S4 Power Instructors"),"")</f>
        <v>2.82352941176471</v>
      </c>
      <c r="G78" s="22" t="n">
        <f aca="false">IFERROR(AVERAGEIFS(Responses!$BF$2:$BF$500,Responses!$CD$2:$CD$500,"S5 Reluctant Instructors"),"")</f>
        <v>3.6</v>
      </c>
      <c r="H78" s="22" t="n">
        <f aca="false">IFERROR(AVERAGEIFS(Responses!$BF$2:$BF$500,Responses!$CD$2:$CD$500,"S6 Access-First Learners"),"")</f>
        <v>2.88888888888889</v>
      </c>
      <c r="I78" s="31" t="n">
        <f aca="false">AVERAGE(Responses!$BF$2:$BF$500)</f>
        <v>3.2741935483871</v>
      </c>
    </row>
    <row r="79" customFormat="false" ht="23.85" hidden="false" customHeight="false" outlineLevel="0" collapsed="false">
      <c r="B79" s="8" t="s">
        <v>1211</v>
      </c>
      <c r="C79" s="22" t="n">
        <f aca="false">IFERROR(AVERAGEIFS(Responses!$BG$2:$BG$500,Responses!$CD$2:$CD$500,"S1 Deadline Sprinters"),"")</f>
        <v>3.58823529411765</v>
      </c>
      <c r="D79" s="22" t="n">
        <f aca="false">IFERROR(AVERAGEIFS(Responses!$BG$2:$BG$500,Responses!$CD$2:$CD$500,"S2 Structured Scholars"),"")</f>
        <v>2.44827586206897</v>
      </c>
      <c r="E79" s="22" t="n">
        <f aca="false">IFERROR(AVERAGEIFS(Responses!$BG$2:$BG$500,Responses!$CD$2:$CD$500,"S3 Overloaded Jugglers"),"")</f>
        <v>2.9</v>
      </c>
      <c r="F79" s="22" t="n">
        <f aca="false">IFERROR(AVERAGEIFS(Responses!$BG$2:$BG$500,Responses!$CD$2:$CD$500,"S4 Power Instructors"),"")</f>
        <v>3.82352941176471</v>
      </c>
      <c r="G79" s="22" t="n">
        <f aca="false">IFERROR(AVERAGEIFS(Responses!$BG$2:$BG$500,Responses!$CD$2:$CD$500,"S5 Reluctant Instructors"),"")</f>
        <v>3.13333333333333</v>
      </c>
      <c r="H79" s="22" t="n">
        <f aca="false">IFERROR(AVERAGEIFS(Responses!$BG$2:$BG$500,Responses!$CD$2:$CD$500,"S6 Access-First Learners"),"")</f>
        <v>2.22222222222222</v>
      </c>
      <c r="I79" s="31" t="n">
        <f aca="false">AVERAGE(Responses!$BG$2:$BG$500)</f>
        <v>3.08870967741936</v>
      </c>
    </row>
    <row r="80" customFormat="false" ht="23.85" hidden="false" customHeight="false" outlineLevel="0" collapsed="false">
      <c r="B80" s="8" t="s">
        <v>1212</v>
      </c>
      <c r="C80" s="22" t="n">
        <f aca="false">IFERROR(AVERAGEIFS(Responses!$BH$2:$BH$500,Responses!$CD$2:$CD$500,"S1 Deadline Sprinters"),"")</f>
        <v>3.76470588235294</v>
      </c>
      <c r="D80" s="22" t="n">
        <f aca="false">IFERROR(AVERAGEIFS(Responses!$BH$2:$BH$500,Responses!$CD$2:$CD$500,"S2 Structured Scholars"),"")</f>
        <v>4.68965517241379</v>
      </c>
      <c r="E80" s="22" t="n">
        <f aca="false">IFERROR(AVERAGEIFS(Responses!$BH$2:$BH$500,Responses!$CD$2:$CD$500,"S3 Overloaded Jugglers"),"")</f>
        <v>4.1</v>
      </c>
      <c r="F80" s="22" t="n">
        <f aca="false">IFERROR(AVERAGEIFS(Responses!$BH$2:$BH$500,Responses!$CD$2:$CD$500,"S4 Power Instructors"),"")</f>
        <v>5.23529411764706</v>
      </c>
      <c r="G80" s="22" t="n">
        <f aca="false">IFERROR(AVERAGEIFS(Responses!$BH$2:$BH$500,Responses!$CD$2:$CD$500,"S5 Reluctant Instructors"),"")</f>
        <v>3.86666666666667</v>
      </c>
      <c r="H80" s="22" t="n">
        <f aca="false">IFERROR(AVERAGEIFS(Responses!$BH$2:$BH$500,Responses!$CD$2:$CD$500,"S6 Access-First Learners"),"")</f>
        <v>4.33333333333333</v>
      </c>
      <c r="I80" s="31" t="n">
        <f aca="false">AVERAGE(Responses!$BH$2:$BH$500)</f>
        <v>4.29032258064516</v>
      </c>
    </row>
    <row r="81" customFormat="false" ht="23.85" hidden="false" customHeight="false" outlineLevel="0" collapsed="false">
      <c r="B81" s="8" t="s">
        <v>1158</v>
      </c>
      <c r="C81" s="22" t="n">
        <f aca="false">IFERROR(AVERAGEIFS(Responses!$BI$2:$BI$500,Responses!$CD$2:$CD$500,"S1 Deadline Sprinters"),"")</f>
        <v>5.55882352941176</v>
      </c>
      <c r="D81" s="22" t="n">
        <f aca="false">IFERROR(AVERAGEIFS(Responses!$BI$2:$BI$500,Responses!$CD$2:$CD$500,"S2 Structured Scholars"),"")</f>
        <v>5.75862068965517</v>
      </c>
      <c r="E81" s="22" t="n">
        <f aca="false">IFERROR(AVERAGEIFS(Responses!$BI$2:$BI$500,Responses!$CD$2:$CD$500,"S3 Overloaded Jugglers"),"")</f>
        <v>4.35</v>
      </c>
      <c r="F81" s="22" t="n">
        <f aca="false">IFERROR(AVERAGEIFS(Responses!$BI$2:$BI$500,Responses!$CD$2:$CD$500,"S4 Power Instructors"),"")</f>
        <v>5.94117647058824</v>
      </c>
      <c r="G81" s="22" t="n">
        <f aca="false">IFERROR(AVERAGEIFS(Responses!$BI$2:$BI$500,Responses!$CD$2:$CD$500,"S5 Reluctant Instructors"),"")</f>
        <v>2.2</v>
      </c>
      <c r="H81" s="22" t="n">
        <f aca="false">IFERROR(AVERAGEIFS(Responses!$BI$2:$BI$500,Responses!$CD$2:$CD$500,"S6 Access-First Learners"),"")</f>
        <v>3.66666666666667</v>
      </c>
      <c r="I81" s="31" t="n">
        <f aca="false">AVERAGE(Responses!$BI$2:$BI$500)</f>
        <v>4.91935483870968</v>
      </c>
    </row>
    <row r="82" customFormat="false" ht="23.85" hidden="false" customHeight="false" outlineLevel="0" collapsed="false">
      <c r="B82" s="8" t="s">
        <v>1213</v>
      </c>
      <c r="C82" s="22" t="n">
        <f aca="false">IFERROR(AVERAGEIFS(Responses!$BJ$2:$BJ$500,Responses!$CD$2:$CD$500,"S1 Deadline Sprinters"),"")</f>
        <v>5.38235294117647</v>
      </c>
      <c r="D82" s="22" t="n">
        <f aca="false">IFERROR(AVERAGEIFS(Responses!$BJ$2:$BJ$500,Responses!$CD$2:$CD$500,"S2 Structured Scholars"),"")</f>
        <v>5.3448275862069</v>
      </c>
      <c r="E82" s="22" t="n">
        <f aca="false">IFERROR(AVERAGEIFS(Responses!$BJ$2:$BJ$500,Responses!$CD$2:$CD$500,"S3 Overloaded Jugglers"),"")</f>
        <v>4.85</v>
      </c>
      <c r="F82" s="22" t="n">
        <f aca="false">IFERROR(AVERAGEIFS(Responses!$BJ$2:$BJ$500,Responses!$CD$2:$CD$500,"S4 Power Instructors"),"")</f>
        <v>5.35294117647059</v>
      </c>
      <c r="G82" s="22" t="n">
        <f aca="false">IFERROR(AVERAGEIFS(Responses!$BJ$2:$BJ$500,Responses!$CD$2:$CD$500,"S5 Reluctant Instructors"),"")</f>
        <v>4.53333333333333</v>
      </c>
      <c r="H82" s="22" t="n">
        <f aca="false">IFERROR(AVERAGEIFS(Responses!$BJ$2:$BJ$500,Responses!$CD$2:$CD$500,"S6 Access-First Learners"),"")</f>
        <v>2.11111111111111</v>
      </c>
      <c r="I82" s="31" t="n">
        <f aca="false">AVERAGE(Responses!$BJ$2:$BJ$500)</f>
        <v>4.94354838709677</v>
      </c>
    </row>
    <row r="83" customFormat="false" ht="15" hidden="false" customHeight="false" outlineLevel="0" collapsed="false">
      <c r="B83" s="8" t="s">
        <v>1160</v>
      </c>
      <c r="C83" s="22" t="n">
        <f aca="false">IFERROR(AVERAGEIFS(Responses!$BK$2:$BK$500,Responses!$CD$2:$CD$500,"S1 Deadline Sprinters"),"")</f>
        <v>4.11764705882353</v>
      </c>
      <c r="D83" s="22" t="n">
        <f aca="false">IFERROR(AVERAGEIFS(Responses!$BK$2:$BK$500,Responses!$CD$2:$CD$500,"S2 Structured Scholars"),"")</f>
        <v>3.86206896551724</v>
      </c>
      <c r="E83" s="22" t="n">
        <f aca="false">IFERROR(AVERAGEIFS(Responses!$BK$2:$BK$500,Responses!$CD$2:$CD$500,"S3 Overloaded Jugglers"),"")</f>
        <v>3.4</v>
      </c>
      <c r="F83" s="22" t="n">
        <f aca="false">IFERROR(AVERAGEIFS(Responses!$BK$2:$BK$500,Responses!$CD$2:$CD$500,"S4 Power Instructors"),"")</f>
        <v>3.17647058823529</v>
      </c>
      <c r="G83" s="22" t="n">
        <f aca="false">IFERROR(AVERAGEIFS(Responses!$BK$2:$BK$500,Responses!$CD$2:$CD$500,"S5 Reluctant Instructors"),"")</f>
        <v>3.06666666666667</v>
      </c>
      <c r="H83" s="22" t="n">
        <f aca="false">IFERROR(AVERAGEIFS(Responses!$BK$2:$BK$500,Responses!$CD$2:$CD$500,"S6 Access-First Learners"),"")</f>
        <v>3.22222222222222</v>
      </c>
      <c r="I83" s="31" t="n">
        <f aca="false">AVERAGE(Responses!$BK$2:$BK$500)</f>
        <v>3.62096774193548</v>
      </c>
    </row>
    <row r="84" customFormat="false" ht="15" hidden="false" customHeight="false" outlineLevel="0" collapsed="false">
      <c r="B84" s="8" t="s">
        <v>1161</v>
      </c>
      <c r="C84" s="22" t="n">
        <f aca="false">IFERROR(AVERAGEIFS(Responses!$BL$2:$BL$500,Responses!$CD$2:$CD$500,"S1 Deadline Sprinters"),"")</f>
        <v>4.64705882352941</v>
      </c>
      <c r="D84" s="22" t="n">
        <f aca="false">IFERROR(AVERAGEIFS(Responses!$BL$2:$BL$500,Responses!$CD$2:$CD$500,"S2 Structured Scholars"),"")</f>
        <v>3.68965517241379</v>
      </c>
      <c r="E84" s="22" t="n">
        <f aca="false">IFERROR(AVERAGEIFS(Responses!$BL$2:$BL$500,Responses!$CD$2:$CD$500,"S3 Overloaded Jugglers"),"")</f>
        <v>3.3</v>
      </c>
      <c r="F84" s="22" t="n">
        <f aca="false">IFERROR(AVERAGEIFS(Responses!$BL$2:$BL$500,Responses!$CD$2:$CD$500,"S4 Power Instructors"),"")</f>
        <v>4.23529411764706</v>
      </c>
      <c r="G84" s="22" t="n">
        <f aca="false">IFERROR(AVERAGEIFS(Responses!$BL$2:$BL$500,Responses!$CD$2:$CD$500,"S5 Reluctant Instructors"),"")</f>
        <v>2.66666666666667</v>
      </c>
      <c r="H84" s="22" t="n">
        <f aca="false">IFERROR(AVERAGEIFS(Responses!$BL$2:$BL$500,Responses!$CD$2:$CD$500,"S6 Access-First Learners"),"")</f>
        <v>2.33333333333333</v>
      </c>
      <c r="I84" s="31" t="n">
        <f aca="false">AVERAGE(Responses!$BL$2:$BL$500)</f>
        <v>3.74193548387097</v>
      </c>
    </row>
    <row r="85" customFormat="false" ht="15" hidden="false" customHeight="false" outlineLevel="0" collapsed="false">
      <c r="B85" s="8" t="s">
        <v>1162</v>
      </c>
      <c r="C85" s="22" t="n">
        <f aca="false">IFERROR(AVERAGEIFS(Responses!$BM$2:$BM$500,Responses!$CD$2:$CD$500,"S1 Deadline Sprinters"),"")</f>
        <v>3.55882352941176</v>
      </c>
      <c r="D85" s="22" t="n">
        <f aca="false">IFERROR(AVERAGEIFS(Responses!$BM$2:$BM$500,Responses!$CD$2:$CD$500,"S2 Structured Scholars"),"")</f>
        <v>3.93103448275862</v>
      </c>
      <c r="E85" s="22" t="n">
        <f aca="false">IFERROR(AVERAGEIFS(Responses!$BM$2:$BM$500,Responses!$CD$2:$CD$500,"S3 Overloaded Jugglers"),"")</f>
        <v>3.45</v>
      </c>
      <c r="F85" s="22" t="n">
        <f aca="false">IFERROR(AVERAGEIFS(Responses!$BM$2:$BM$500,Responses!$CD$2:$CD$500,"S4 Power Instructors"),"")</f>
        <v>3.52941176470588</v>
      </c>
      <c r="G85" s="22" t="n">
        <f aca="false">IFERROR(AVERAGEIFS(Responses!$BM$2:$BM$500,Responses!$CD$2:$CD$500,"S5 Reluctant Instructors"),"")</f>
        <v>1.6</v>
      </c>
      <c r="H85" s="22" t="n">
        <f aca="false">IFERROR(AVERAGEIFS(Responses!$BM$2:$BM$500,Responses!$CD$2:$CD$500,"S6 Access-First Learners"),"")</f>
        <v>2.33333333333333</v>
      </c>
      <c r="I85" s="31" t="n">
        <f aca="false">AVERAGE(Responses!$BM$2:$BM$500)</f>
        <v>3.29838709677419</v>
      </c>
    </row>
    <row r="86" customFormat="false" ht="15" hidden="false" customHeight="false" outlineLevel="0" collapsed="false">
      <c r="B86" s="29" t="s">
        <v>1214</v>
      </c>
      <c r="C86" s="30"/>
      <c r="D86" s="30"/>
      <c r="E86" s="30"/>
      <c r="F86" s="30"/>
      <c r="G86" s="30"/>
      <c r="H86" s="30"/>
      <c r="I86" s="30"/>
    </row>
    <row r="87" customFormat="false" ht="15" hidden="false" customHeight="false" outlineLevel="0" collapsed="false">
      <c r="B87" s="8" t="s">
        <v>540</v>
      </c>
      <c r="C87" s="22" t="n">
        <f aca="false">IFERROR(AVERAGEIFS(Responses!$BN$2:$BN$500,Responses!$CD$2:$CD$500,"S1 Deadline Sprinters"),"")</f>
        <v>3.02941176470588</v>
      </c>
      <c r="D87" s="22" t="n">
        <f aca="false">IFERROR(AVERAGEIFS(Responses!$BN$2:$BN$500,Responses!$CD$2:$CD$500,"S2 Structured Scholars"),"")</f>
        <v>1.24137931034483</v>
      </c>
      <c r="E87" s="22" t="n">
        <f aca="false">IFERROR(AVERAGEIFS(Responses!$BN$2:$BN$500,Responses!$CD$2:$CD$500,"S3 Overloaded Jugglers"),"")</f>
        <v>3.15</v>
      </c>
      <c r="F87" s="22" t="n">
        <f aca="false">IFERROR(AVERAGEIFS(Responses!$BN$2:$BN$500,Responses!$CD$2:$CD$500,"S4 Power Instructors"),"")</f>
        <v>2</v>
      </c>
      <c r="G87" s="22" t="n">
        <f aca="false">IFERROR(AVERAGEIFS(Responses!$BN$2:$BN$500,Responses!$CD$2:$CD$500,"S5 Reluctant Instructors"),"")</f>
        <v>1.33333333333333</v>
      </c>
      <c r="H87" s="22" t="n">
        <f aca="false">IFERROR(AVERAGEIFS(Responses!$BN$2:$BN$500,Responses!$CD$2:$CD$500,"S6 Access-First Learners"),"")</f>
        <v>1.11111111111111</v>
      </c>
      <c r="I87" s="31" t="n">
        <f aca="false">AVERAGE(Responses!$BN$2:$BN$500)</f>
        <v>2.14516129032258</v>
      </c>
    </row>
    <row r="88" customFormat="false" ht="15" hidden="false" customHeight="false" outlineLevel="0" collapsed="false">
      <c r="B88" s="8" t="s">
        <v>543</v>
      </c>
      <c r="C88" s="22" t="n">
        <f aca="false">IFERROR(AVERAGEIFS(Responses!$BO$2:$BO$500,Responses!$CD$2:$CD$500,"S1 Deadline Sprinters"),"")</f>
        <v>1.44117647058824</v>
      </c>
      <c r="D88" s="22" t="n">
        <f aca="false">IFERROR(AVERAGEIFS(Responses!$BO$2:$BO$500,Responses!$CD$2:$CD$500,"S2 Structured Scholars"),"")</f>
        <v>3.10344827586207</v>
      </c>
      <c r="E88" s="22" t="n">
        <f aca="false">IFERROR(AVERAGEIFS(Responses!$BO$2:$BO$500,Responses!$CD$2:$CD$500,"S3 Overloaded Jugglers"),"")</f>
        <v>1.25</v>
      </c>
      <c r="F88" s="22" t="n">
        <f aca="false">IFERROR(AVERAGEIFS(Responses!$BO$2:$BO$500,Responses!$CD$2:$CD$500,"S4 Power Instructors"),"")</f>
        <v>4</v>
      </c>
      <c r="G88" s="22" t="n">
        <f aca="false">IFERROR(AVERAGEIFS(Responses!$BO$2:$BO$500,Responses!$CD$2:$CD$500,"S5 Reluctant Instructors"),"")</f>
        <v>2.66666666666667</v>
      </c>
      <c r="H88" s="22" t="n">
        <f aca="false">IFERROR(AVERAGEIFS(Responses!$BO$2:$BO$500,Responses!$CD$2:$CD$500,"S6 Access-First Learners"),"")</f>
        <v>2.88888888888889</v>
      </c>
      <c r="I88" s="31" t="n">
        <f aca="false">AVERAGE(Responses!$BO$2:$BO$500)</f>
        <v>2.40322580645161</v>
      </c>
    </row>
    <row r="89" customFormat="false" ht="15" hidden="false" customHeight="false" outlineLevel="0" collapsed="false">
      <c r="B89" s="8" t="s">
        <v>545</v>
      </c>
      <c r="C89" s="22" t="n">
        <f aca="false">IFERROR(AVERAGEIFS(Responses!$BP$2:$BP$500,Responses!$CD$2:$CD$500,"S1 Deadline Sprinters"),"")</f>
        <v>1.88235294117647</v>
      </c>
      <c r="D89" s="22" t="n">
        <f aca="false">IFERROR(AVERAGEIFS(Responses!$BP$2:$BP$500,Responses!$CD$2:$CD$500,"S2 Structured Scholars"),"")</f>
        <v>3.93103448275862</v>
      </c>
      <c r="E89" s="22" t="n">
        <f aca="false">IFERROR(AVERAGEIFS(Responses!$BP$2:$BP$500,Responses!$CD$2:$CD$500,"S3 Overloaded Jugglers"),"")</f>
        <v>3.9</v>
      </c>
      <c r="F89" s="22" t="n">
        <f aca="false">IFERROR(AVERAGEIFS(Responses!$BP$2:$BP$500,Responses!$CD$2:$CD$500,"S4 Power Instructors"),"")</f>
        <v>1.17647058823529</v>
      </c>
      <c r="G89" s="22" t="n">
        <f aca="false">IFERROR(AVERAGEIFS(Responses!$BP$2:$BP$500,Responses!$CD$2:$CD$500,"S5 Reluctant Instructors"),"")</f>
        <v>3.93333333333333</v>
      </c>
      <c r="H89" s="22" t="n">
        <f aca="false">IFERROR(AVERAGEIFS(Responses!$BP$2:$BP$500,Responses!$CD$2:$CD$500,"S6 Access-First Learners"),"")</f>
        <v>3.88888888888889</v>
      </c>
      <c r="I89" s="31" t="n">
        <f aca="false">AVERAGE(Responses!$BP$2:$BP$500)</f>
        <v>2.98387096774194</v>
      </c>
    </row>
    <row r="90" customFormat="false" ht="15" hidden="false" customHeight="false" outlineLevel="0" collapsed="false">
      <c r="B90" s="8" t="s">
        <v>548</v>
      </c>
      <c r="C90" s="22" t="n">
        <f aca="false">IFERROR(AVERAGEIFS(Responses!$BQ$2:$BQ$500,Responses!$CD$2:$CD$500,"S1 Deadline Sprinters"),"")</f>
        <v>4.14705882352941</v>
      </c>
      <c r="D90" s="22" t="n">
        <f aca="false">IFERROR(AVERAGEIFS(Responses!$BQ$2:$BQ$500,Responses!$CD$2:$CD$500,"S2 Structured Scholars"),"")</f>
        <v>5.24137931034483</v>
      </c>
      <c r="E90" s="22" t="n">
        <f aca="false">IFERROR(AVERAGEIFS(Responses!$BQ$2:$BQ$500,Responses!$CD$2:$CD$500,"S3 Overloaded Jugglers"),"")</f>
        <v>5.15</v>
      </c>
      <c r="F90" s="22" t="n">
        <f aca="false">IFERROR(AVERAGEIFS(Responses!$BQ$2:$BQ$500,Responses!$CD$2:$CD$500,"S4 Power Instructors"),"")</f>
        <v>3.17647058823529</v>
      </c>
      <c r="G90" s="22" t="n">
        <f aca="false">IFERROR(AVERAGEIFS(Responses!$BQ$2:$BQ$500,Responses!$CD$2:$CD$500,"S5 Reluctant Instructors"),"")</f>
        <v>2.4</v>
      </c>
      <c r="H90" s="22" t="n">
        <f aca="false">IFERROR(AVERAGEIFS(Responses!$BQ$2:$BQ$500,Responses!$CD$2:$CD$500,"S6 Access-First Learners"),"")</f>
        <v>5.11111111111111</v>
      </c>
      <c r="I90" s="31" t="n">
        <f aca="false">AVERAGE(Responses!$BQ$2:$BQ$500)</f>
        <v>4.29032258064516</v>
      </c>
    </row>
    <row r="91" customFormat="false" ht="15" hidden="false" customHeight="false" outlineLevel="0" collapsed="false">
      <c r="B91" s="8" t="s">
        <v>550</v>
      </c>
      <c r="C91" s="22" t="n">
        <f aca="false">IFERROR(AVERAGEIFS(Responses!$BR$2:$BR$500,Responses!$CD$2:$CD$500,"S1 Deadline Sprinters"),"")</f>
        <v>4.94117647058824</v>
      </c>
      <c r="D91" s="22" t="n">
        <f aca="false">IFERROR(AVERAGEIFS(Responses!$BR$2:$BR$500,Responses!$CD$2:$CD$500,"S2 Structured Scholars"),"")</f>
        <v>1.89655172413793</v>
      </c>
      <c r="E91" s="22" t="n">
        <f aca="false">IFERROR(AVERAGEIFS(Responses!$BR$2:$BR$500,Responses!$CD$2:$CD$500,"S3 Overloaded Jugglers"),"")</f>
        <v>1.95</v>
      </c>
      <c r="F91" s="22" t="n">
        <f aca="false">IFERROR(AVERAGEIFS(Responses!$BR$2:$BR$500,Responses!$CD$2:$CD$500,"S4 Power Instructors"),"")</f>
        <v>5.52941176470588</v>
      </c>
      <c r="G91" s="22" t="n">
        <f aca="false">IFERROR(AVERAGEIFS(Responses!$BR$2:$BR$500,Responses!$CD$2:$CD$500,"S5 Reluctant Instructors"),"")</f>
        <v>4.86666666666667</v>
      </c>
      <c r="H91" s="22" t="n">
        <f aca="false">IFERROR(AVERAGEIFS(Responses!$BR$2:$BR$500,Responses!$CD$2:$CD$500,"S6 Access-First Learners"),"")</f>
        <v>2.22222222222222</v>
      </c>
      <c r="I91" s="31" t="n">
        <f aca="false">AVERAGE(Responses!$BR$2:$BR$500)</f>
        <v>3.62096774193548</v>
      </c>
    </row>
    <row r="92" customFormat="false" ht="15" hidden="false" customHeight="false" outlineLevel="0" collapsed="false">
      <c r="B92" s="8" t="s">
        <v>553</v>
      </c>
      <c r="C92" s="22" t="n">
        <f aca="false">IFERROR(AVERAGEIFS(Responses!$BS$2:$BS$500,Responses!$CD$2:$CD$500,"S1 Deadline Sprinters"),"")</f>
        <v>5.55882352941176</v>
      </c>
      <c r="D92" s="22" t="n">
        <f aca="false">IFERROR(AVERAGEIFS(Responses!$BS$2:$BS$500,Responses!$CD$2:$CD$500,"S2 Structured Scholars"),"")</f>
        <v>5.58620689655172</v>
      </c>
      <c r="E92" s="22" t="n">
        <f aca="false">IFERROR(AVERAGEIFS(Responses!$BS$2:$BS$500,Responses!$CD$2:$CD$500,"S3 Overloaded Jugglers"),"")</f>
        <v>5.6</v>
      </c>
      <c r="F92" s="22" t="n">
        <f aca="false">IFERROR(AVERAGEIFS(Responses!$BS$2:$BS$500,Responses!$CD$2:$CD$500,"S4 Power Instructors"),"")</f>
        <v>5.11764705882353</v>
      </c>
      <c r="G92" s="22" t="n">
        <f aca="false">IFERROR(AVERAGEIFS(Responses!$BS$2:$BS$500,Responses!$CD$2:$CD$500,"S5 Reluctant Instructors"),"")</f>
        <v>5.8</v>
      </c>
      <c r="H92" s="22" t="n">
        <f aca="false">IFERROR(AVERAGEIFS(Responses!$BS$2:$BS$500,Responses!$CD$2:$CD$500,"S6 Access-First Learners"),"")</f>
        <v>5.77777777777778</v>
      </c>
      <c r="I92" s="31" t="n">
        <f aca="false">AVERAGE(Responses!$BS$2:$BS$500)</f>
        <v>5.55645161290323</v>
      </c>
    </row>
    <row r="93" customFormat="false" ht="15" hidden="false" customHeight="false" outlineLevel="0" collapsed="false">
      <c r="B93" s="29" t="s">
        <v>1215</v>
      </c>
      <c r="C93" s="30"/>
      <c r="D93" s="30"/>
      <c r="E93" s="30"/>
      <c r="F93" s="30"/>
      <c r="G93" s="30"/>
      <c r="H93" s="30"/>
      <c r="I93" s="30"/>
    </row>
    <row r="94" customFormat="false" ht="15" hidden="false" customHeight="false" outlineLevel="0" collapsed="false">
      <c r="B94" s="8" t="s">
        <v>272</v>
      </c>
      <c r="C94" s="21" t="n">
        <f aca="false">IFERROR(COUNTIFS(Responses!$C$2:$C$500,"bsc",Responses!$CD$2:$CD$500,"S1 Deadline Sprinters")/'2-Segments'!$C$17,"")</f>
        <v>0.735294117647059</v>
      </c>
      <c r="D94" s="21" t="n">
        <f aca="false">IFERROR(COUNTIFS(Responses!$C$2:$C$500,"bsc",Responses!$CD$2:$CD$500,"S2 Structured Scholars")/'2-Segments'!$C$18,"")</f>
        <v>0.0689655172413793</v>
      </c>
      <c r="E94" s="21" t="n">
        <f aca="false">IFERROR(COUNTIFS(Responses!$C$2:$C$500,"bsc",Responses!$CD$2:$CD$500,"S3 Overloaded Jugglers")/'2-Segments'!$C$19,"")</f>
        <v>0.45</v>
      </c>
      <c r="F94" s="21" t="n">
        <f aca="false">IFERROR(COUNTIFS(Responses!$C$2:$C$500,"bsc",Responses!$CD$2:$CD$500,"S4 Power Instructors")/'2-Segments'!$C$20,"")</f>
        <v>0</v>
      </c>
      <c r="G94" s="21" t="n">
        <f aca="false">IFERROR(COUNTIFS(Responses!$C$2:$C$500,"bsc",Responses!$CD$2:$CD$500,"S5 Reluctant Instructors")/'2-Segments'!$C$21,"")</f>
        <v>0</v>
      </c>
      <c r="H94" s="21" t="n">
        <f aca="false">IFERROR(COUNTIFS(Responses!$C$2:$C$500,"bsc",Responses!$CD$2:$CD$500,"S6 Access-First Learners")/'2-Segments'!$C$22,"")</f>
        <v>0.555555555555556</v>
      </c>
      <c r="I94" s="32" t="n">
        <f aca="false">COUNTIF(Responses!$C$2:$C$500,"bsc")/'1-Patterns'!$C$4</f>
        <v>0.330645161290323</v>
      </c>
    </row>
    <row r="95" customFormat="false" ht="15" hidden="false" customHeight="false" outlineLevel="0" collapsed="false">
      <c r="B95" s="8" t="s">
        <v>275</v>
      </c>
      <c r="C95" s="21" t="n">
        <f aca="false">IFERROR(COUNTIFS(Responses!$C$2:$C$500,"msc",Responses!$CD$2:$CD$500,"S1 Deadline Sprinters")/'2-Segments'!$C$17,"")</f>
        <v>0.264705882352941</v>
      </c>
      <c r="D95" s="21" t="n">
        <f aca="false">IFERROR(COUNTIFS(Responses!$C$2:$C$500,"msc",Responses!$CD$2:$CD$500,"S2 Structured Scholars")/'2-Segments'!$C$18,"")</f>
        <v>0.620689655172414</v>
      </c>
      <c r="E95" s="21" t="n">
        <f aca="false">IFERROR(COUNTIFS(Responses!$C$2:$C$500,"msc",Responses!$CD$2:$CD$500,"S3 Overloaded Jugglers")/'2-Segments'!$C$19,"")</f>
        <v>0.55</v>
      </c>
      <c r="F95" s="21" t="n">
        <f aca="false">IFERROR(COUNTIFS(Responses!$C$2:$C$500,"msc",Responses!$CD$2:$CD$500,"S4 Power Instructors")/'2-Segments'!$C$20,"")</f>
        <v>0</v>
      </c>
      <c r="G95" s="21" t="n">
        <f aca="false">IFERROR(COUNTIFS(Responses!$C$2:$C$500,"msc",Responses!$CD$2:$CD$500,"S5 Reluctant Instructors")/'2-Segments'!$C$21,"")</f>
        <v>0</v>
      </c>
      <c r="H95" s="21" t="n">
        <f aca="false">IFERROR(COUNTIFS(Responses!$C$2:$C$500,"msc",Responses!$CD$2:$CD$500,"S6 Access-First Learners")/'2-Segments'!$C$22,"")</f>
        <v>0.444444444444444</v>
      </c>
      <c r="I95" s="32" t="n">
        <f aca="false">COUNTIF(Responses!$C$2:$C$500,"msc")/'1-Patterns'!$C$4</f>
        <v>0.338709677419355</v>
      </c>
    </row>
    <row r="96" customFormat="false" ht="15" hidden="false" customHeight="false" outlineLevel="0" collapsed="false">
      <c r="B96" s="8" t="s">
        <v>278</v>
      </c>
      <c r="C96" s="21" t="n">
        <f aca="false">IFERROR(COUNTIFS(Responses!$C$2:$C$500,"phd",Responses!$CD$2:$CD$500,"S1 Deadline Sprinters")/'2-Segments'!$C$17,"")</f>
        <v>0</v>
      </c>
      <c r="D96" s="21" t="n">
        <f aca="false">IFERROR(COUNTIFS(Responses!$C$2:$C$500,"phd",Responses!$CD$2:$CD$500,"S2 Structured Scholars")/'2-Segments'!$C$18,"")</f>
        <v>0.310344827586207</v>
      </c>
      <c r="E96" s="21" t="n">
        <f aca="false">IFERROR(COUNTIFS(Responses!$C$2:$C$500,"phd",Responses!$CD$2:$CD$500,"S3 Overloaded Jugglers")/'2-Segments'!$C$19,"")</f>
        <v>0</v>
      </c>
      <c r="F96" s="21" t="n">
        <f aca="false">IFERROR(COUNTIFS(Responses!$C$2:$C$500,"phd",Responses!$CD$2:$CD$500,"S4 Power Instructors")/'2-Segments'!$C$20,"")</f>
        <v>0</v>
      </c>
      <c r="G96" s="21" t="n">
        <f aca="false">IFERROR(COUNTIFS(Responses!$C$2:$C$500,"phd",Responses!$CD$2:$CD$500,"S5 Reluctant Instructors")/'2-Segments'!$C$21,"")</f>
        <v>0</v>
      </c>
      <c r="H96" s="21" t="n">
        <f aca="false">IFERROR(COUNTIFS(Responses!$C$2:$C$500,"phd",Responses!$CD$2:$CD$500,"S6 Access-First Learners")/'2-Segments'!$C$22,"")</f>
        <v>0</v>
      </c>
      <c r="I96" s="32" t="n">
        <f aca="false">COUNTIF(Responses!$C$2:$C$500,"phd")/'1-Patterns'!$C$4</f>
        <v>0.0725806451612903</v>
      </c>
    </row>
    <row r="97" customFormat="false" ht="15" hidden="false" customHeight="false" outlineLevel="0" collapsed="false">
      <c r="B97" s="8" t="s">
        <v>281</v>
      </c>
      <c r="C97" s="21" t="n">
        <f aca="false">IFERROR(COUNTIFS(Responses!$C$2:$C$500,"lecturer",Responses!$CD$2:$CD$500,"S1 Deadline Sprinters")/'2-Segments'!$C$17,"")</f>
        <v>0</v>
      </c>
      <c r="D97" s="21" t="n">
        <f aca="false">IFERROR(COUNTIFS(Responses!$C$2:$C$500,"lecturer",Responses!$CD$2:$CD$500,"S2 Structured Scholars")/'2-Segments'!$C$18,"")</f>
        <v>0</v>
      </c>
      <c r="E97" s="21" t="n">
        <f aca="false">IFERROR(COUNTIFS(Responses!$C$2:$C$500,"lecturer",Responses!$CD$2:$CD$500,"S3 Overloaded Jugglers")/'2-Segments'!$C$19,"")</f>
        <v>0</v>
      </c>
      <c r="F97" s="21" t="n">
        <f aca="false">IFERROR(COUNTIFS(Responses!$C$2:$C$500,"lecturer",Responses!$CD$2:$CD$500,"S4 Power Instructors")/'2-Segments'!$C$20,"")</f>
        <v>0.529411764705882</v>
      </c>
      <c r="G97" s="21" t="n">
        <f aca="false">IFERROR(COUNTIFS(Responses!$C$2:$C$500,"lecturer",Responses!$CD$2:$CD$500,"S5 Reluctant Instructors")/'2-Segments'!$C$21,"")</f>
        <v>0.733333333333333</v>
      </c>
      <c r="H97" s="21" t="n">
        <f aca="false">IFERROR(COUNTIFS(Responses!$C$2:$C$500,"lecturer",Responses!$CD$2:$CD$500,"S6 Access-First Learners")/'2-Segments'!$C$22,"")</f>
        <v>0</v>
      </c>
      <c r="I97" s="32" t="n">
        <f aca="false">COUNTIF(Responses!$C$2:$C$500,"lecturer")/'1-Patterns'!$C$4</f>
        <v>0.161290322580645</v>
      </c>
    </row>
    <row r="98" customFormat="false" ht="15" hidden="false" customHeight="false" outlineLevel="0" collapsed="false">
      <c r="B98" s="8" t="s">
        <v>284</v>
      </c>
      <c r="C98" s="21" t="n">
        <f aca="false">IFERROR(COUNTIFS(Responses!$C$2:$C$500,"ta",Responses!$CD$2:$CD$500,"S1 Deadline Sprinters")/'2-Segments'!$C$17,"")</f>
        <v>0</v>
      </c>
      <c r="D98" s="21" t="n">
        <f aca="false">IFERROR(COUNTIFS(Responses!$C$2:$C$500,"ta",Responses!$CD$2:$CD$500,"S2 Structured Scholars")/'2-Segments'!$C$18,"")</f>
        <v>0</v>
      </c>
      <c r="E98" s="21" t="n">
        <f aca="false">IFERROR(COUNTIFS(Responses!$C$2:$C$500,"ta",Responses!$CD$2:$CD$500,"S3 Overloaded Jugglers")/'2-Segments'!$C$19,"")</f>
        <v>0</v>
      </c>
      <c r="F98" s="21" t="n">
        <f aca="false">IFERROR(COUNTIFS(Responses!$C$2:$C$500,"ta",Responses!$CD$2:$CD$500,"S4 Power Instructors")/'2-Segments'!$C$20,"")</f>
        <v>0.294117647058824</v>
      </c>
      <c r="G98" s="21" t="n">
        <f aca="false">IFERROR(COUNTIFS(Responses!$C$2:$C$500,"ta",Responses!$CD$2:$CD$500,"S5 Reluctant Instructors")/'2-Segments'!$C$21,"")</f>
        <v>0.0666666666666667</v>
      </c>
      <c r="H98" s="21" t="n">
        <f aca="false">IFERROR(COUNTIFS(Responses!$C$2:$C$500,"ta",Responses!$CD$2:$CD$500,"S6 Access-First Learners")/'2-Segments'!$C$22,"")</f>
        <v>0</v>
      </c>
      <c r="I98" s="32" t="n">
        <f aca="false">COUNTIF(Responses!$C$2:$C$500,"ta")/'1-Patterns'!$C$4</f>
        <v>0.0483870967741936</v>
      </c>
    </row>
    <row r="99" customFormat="false" ht="15" hidden="false" customHeight="false" outlineLevel="0" collapsed="false">
      <c r="B99" s="8" t="s">
        <v>287</v>
      </c>
      <c r="C99" s="21" t="n">
        <f aca="false">IFERROR(COUNTIFS(Responses!$C$2:$C$500,"staff",Responses!$CD$2:$CD$500,"S1 Deadline Sprinters")/'2-Segments'!$C$17,"")</f>
        <v>0</v>
      </c>
      <c r="D99" s="21" t="n">
        <f aca="false">IFERROR(COUNTIFS(Responses!$C$2:$C$500,"staff",Responses!$CD$2:$CD$500,"S2 Structured Scholars")/'2-Segments'!$C$18,"")</f>
        <v>0</v>
      </c>
      <c r="E99" s="21" t="n">
        <f aca="false">IFERROR(COUNTIFS(Responses!$C$2:$C$500,"staff",Responses!$CD$2:$CD$500,"S3 Overloaded Jugglers")/'2-Segments'!$C$19,"")</f>
        <v>0</v>
      </c>
      <c r="F99" s="21" t="n">
        <f aca="false">IFERROR(COUNTIFS(Responses!$C$2:$C$500,"staff",Responses!$CD$2:$CD$500,"S4 Power Instructors")/'2-Segments'!$C$20,"")</f>
        <v>0.176470588235294</v>
      </c>
      <c r="G99" s="21" t="n">
        <f aca="false">IFERROR(COUNTIFS(Responses!$C$2:$C$500,"staff",Responses!$CD$2:$CD$500,"S5 Reluctant Instructors")/'2-Segments'!$C$21,"")</f>
        <v>0.2</v>
      </c>
      <c r="H99" s="21" t="n">
        <f aca="false">IFERROR(COUNTIFS(Responses!$C$2:$C$500,"staff",Responses!$CD$2:$CD$500,"S6 Access-First Learners")/'2-Segments'!$C$22,"")</f>
        <v>0</v>
      </c>
      <c r="I99" s="32" t="n">
        <f aca="false">COUNTIF(Responses!$C$2:$C$500,"staff")/'1-Patterns'!$C$4</f>
        <v>0.0483870967741936</v>
      </c>
    </row>
    <row r="100" customFormat="false" ht="15" hidden="false" customHeight="false" outlineLevel="0" collapsed="false">
      <c r="B100" s="29" t="s">
        <v>1216</v>
      </c>
      <c r="C100" s="30"/>
      <c r="D100" s="30"/>
      <c r="E100" s="30"/>
      <c r="F100" s="30"/>
      <c r="G100" s="30"/>
      <c r="H100" s="30"/>
      <c r="I100" s="30"/>
    </row>
    <row r="101" customFormat="false" ht="15" hidden="false" customHeight="false" outlineLevel="0" collapsed="false">
      <c r="B101" s="8" t="s">
        <v>289</v>
      </c>
      <c r="C101" s="21" t="n">
        <f aca="false">IFERROR(COUNTIFS(Responses!$D$2:$D$500,"17-20",Responses!$CD$2:$CD$500,"S1 Deadline Sprinters")/'2-Segments'!$C$17,"")</f>
        <v>0.5</v>
      </c>
      <c r="D101" s="21" t="n">
        <f aca="false">IFERROR(COUNTIFS(Responses!$D$2:$D$500,"17-20",Responses!$CD$2:$CD$500,"S2 Structured Scholars")/'2-Segments'!$C$18,"")</f>
        <v>0</v>
      </c>
      <c r="E101" s="21" t="n">
        <f aca="false">IFERROR(COUNTIFS(Responses!$D$2:$D$500,"17-20",Responses!$CD$2:$CD$500,"S3 Overloaded Jugglers")/'2-Segments'!$C$19,"")</f>
        <v>0</v>
      </c>
      <c r="F101" s="21" t="n">
        <f aca="false">IFERROR(COUNTIFS(Responses!$D$2:$D$500,"17-20",Responses!$CD$2:$CD$500,"S4 Power Instructors")/'2-Segments'!$C$20,"")</f>
        <v>0</v>
      </c>
      <c r="G101" s="21" t="n">
        <f aca="false">IFERROR(COUNTIFS(Responses!$D$2:$D$500,"17-20",Responses!$CD$2:$CD$500,"S5 Reluctant Instructors")/'2-Segments'!$C$21,"")</f>
        <v>0</v>
      </c>
      <c r="H101" s="21" t="n">
        <f aca="false">IFERROR(COUNTIFS(Responses!$D$2:$D$500,"17-20",Responses!$CD$2:$CD$500,"S6 Access-First Learners")/'2-Segments'!$C$22,"")</f>
        <v>0.111111111111111</v>
      </c>
      <c r="I101" s="32" t="n">
        <f aca="false">COUNTIF(Responses!$D$2:$D$500,"17-20")/'1-Patterns'!$C$4</f>
        <v>0.145161290322581</v>
      </c>
    </row>
    <row r="102" customFormat="false" ht="15" hidden="false" customHeight="false" outlineLevel="0" collapsed="false">
      <c r="B102" s="8" t="s">
        <v>291</v>
      </c>
      <c r="C102" s="21" t="n">
        <f aca="false">IFERROR(COUNTIFS(Responses!$D$2:$D$500,"21-24",Responses!$CD$2:$CD$500,"S1 Deadline Sprinters")/'2-Segments'!$C$17,"")</f>
        <v>0.382352941176471</v>
      </c>
      <c r="D102" s="21" t="n">
        <f aca="false">IFERROR(COUNTIFS(Responses!$D$2:$D$500,"21-24",Responses!$CD$2:$CD$500,"S2 Structured Scholars")/'2-Segments'!$C$18,"")</f>
        <v>0.620689655172414</v>
      </c>
      <c r="E102" s="21" t="n">
        <f aca="false">IFERROR(COUNTIFS(Responses!$D$2:$D$500,"21-24",Responses!$CD$2:$CD$500,"S3 Overloaded Jugglers")/'2-Segments'!$C$19,"")</f>
        <v>0.35</v>
      </c>
      <c r="F102" s="21" t="n">
        <f aca="false">IFERROR(COUNTIFS(Responses!$D$2:$D$500,"21-24",Responses!$CD$2:$CD$500,"S4 Power Instructors")/'2-Segments'!$C$20,"")</f>
        <v>0</v>
      </c>
      <c r="G102" s="21" t="n">
        <f aca="false">IFERROR(COUNTIFS(Responses!$D$2:$D$500,"21-24",Responses!$CD$2:$CD$500,"S5 Reluctant Instructors")/'2-Segments'!$C$21,"")</f>
        <v>0</v>
      </c>
      <c r="H102" s="21" t="n">
        <f aca="false">IFERROR(COUNTIFS(Responses!$D$2:$D$500,"21-24",Responses!$CD$2:$CD$500,"S6 Access-First Learners")/'2-Segments'!$C$22,"")</f>
        <v>0.555555555555556</v>
      </c>
      <c r="I102" s="32" t="n">
        <f aca="false">COUNTIF(Responses!$D$2:$D$500,"21-24")/'1-Patterns'!$C$4</f>
        <v>0.346774193548387</v>
      </c>
    </row>
    <row r="103" customFormat="false" ht="15" hidden="false" customHeight="false" outlineLevel="0" collapsed="false">
      <c r="B103" s="8" t="s">
        <v>293</v>
      </c>
      <c r="C103" s="21" t="n">
        <f aca="false">IFERROR(COUNTIFS(Responses!$D$2:$D$500,"25-29",Responses!$CD$2:$CD$500,"S1 Deadline Sprinters")/'2-Segments'!$C$17,"")</f>
        <v>0.0882352941176471</v>
      </c>
      <c r="D103" s="21" t="n">
        <f aca="false">IFERROR(COUNTIFS(Responses!$D$2:$D$500,"25-29",Responses!$CD$2:$CD$500,"S2 Structured Scholars")/'2-Segments'!$C$18,"")</f>
        <v>0.275862068965517</v>
      </c>
      <c r="E103" s="21" t="n">
        <f aca="false">IFERROR(COUNTIFS(Responses!$D$2:$D$500,"25-29",Responses!$CD$2:$CD$500,"S3 Overloaded Jugglers")/'2-Segments'!$C$19,"")</f>
        <v>0.25</v>
      </c>
      <c r="F103" s="21" t="n">
        <f aca="false">IFERROR(COUNTIFS(Responses!$D$2:$D$500,"25-29",Responses!$CD$2:$CD$500,"S4 Power Instructors")/'2-Segments'!$C$20,"")</f>
        <v>0.235294117647059</v>
      </c>
      <c r="G103" s="21" t="n">
        <f aca="false">IFERROR(COUNTIFS(Responses!$D$2:$D$500,"25-29",Responses!$CD$2:$CD$500,"S5 Reluctant Instructors")/'2-Segments'!$C$21,"")</f>
        <v>0</v>
      </c>
      <c r="H103" s="21" t="n">
        <f aca="false">IFERROR(COUNTIFS(Responses!$D$2:$D$500,"25-29",Responses!$CD$2:$CD$500,"S6 Access-First Learners")/'2-Segments'!$C$22,"")</f>
        <v>0.111111111111111</v>
      </c>
      <c r="I103" s="32" t="n">
        <f aca="false">COUNTIF(Responses!$D$2:$D$500,"25-29")/'1-Patterns'!$C$4</f>
        <v>0.169354838709677</v>
      </c>
    </row>
    <row r="104" customFormat="false" ht="15" hidden="false" customHeight="false" outlineLevel="0" collapsed="false">
      <c r="B104" s="8" t="s">
        <v>295</v>
      </c>
      <c r="C104" s="21" t="n">
        <f aca="false">IFERROR(COUNTIFS(Responses!$D$2:$D$500,"30-39",Responses!$CD$2:$CD$500,"S1 Deadline Sprinters")/'2-Segments'!$C$17,"")</f>
        <v>0</v>
      </c>
      <c r="D104" s="21" t="n">
        <f aca="false">IFERROR(COUNTIFS(Responses!$D$2:$D$500,"30-39",Responses!$CD$2:$CD$500,"S2 Structured Scholars")/'2-Segments'!$C$18,"")</f>
        <v>0.103448275862069</v>
      </c>
      <c r="E104" s="21" t="n">
        <f aca="false">IFERROR(COUNTIFS(Responses!$D$2:$D$500,"30-39",Responses!$CD$2:$CD$500,"S3 Overloaded Jugglers")/'2-Segments'!$C$19,"")</f>
        <v>0.25</v>
      </c>
      <c r="F104" s="21" t="n">
        <f aca="false">IFERROR(COUNTIFS(Responses!$D$2:$D$500,"30-39",Responses!$CD$2:$CD$500,"S4 Power Instructors")/'2-Segments'!$C$20,"")</f>
        <v>0.294117647058824</v>
      </c>
      <c r="G104" s="21" t="n">
        <f aca="false">IFERROR(COUNTIFS(Responses!$D$2:$D$500,"30-39",Responses!$CD$2:$CD$500,"S5 Reluctant Instructors")/'2-Segments'!$C$21,"")</f>
        <v>0.333333333333333</v>
      </c>
      <c r="H104" s="21" t="n">
        <f aca="false">IFERROR(COUNTIFS(Responses!$D$2:$D$500,"30-39",Responses!$CD$2:$CD$500,"S6 Access-First Learners")/'2-Segments'!$C$22,"")</f>
        <v>0.222222222222222</v>
      </c>
      <c r="I104" s="32" t="n">
        <f aca="false">COUNTIF(Responses!$D$2:$D$500,"30-39")/'1-Patterns'!$C$4</f>
        <v>0.161290322580645</v>
      </c>
    </row>
    <row r="105" customFormat="false" ht="15" hidden="false" customHeight="false" outlineLevel="0" collapsed="false">
      <c r="B105" s="8" t="s">
        <v>297</v>
      </c>
      <c r="C105" s="21" t="n">
        <f aca="false">IFERROR(COUNTIFS(Responses!$D$2:$D$500,"40-49",Responses!$CD$2:$CD$500,"S1 Deadline Sprinters")/'2-Segments'!$C$17,"")</f>
        <v>0</v>
      </c>
      <c r="D105" s="21" t="n">
        <f aca="false">IFERROR(COUNTIFS(Responses!$D$2:$D$500,"40-49",Responses!$CD$2:$CD$500,"S2 Structured Scholars")/'2-Segments'!$C$18,"")</f>
        <v>0</v>
      </c>
      <c r="E105" s="21" t="n">
        <f aca="false">IFERROR(COUNTIFS(Responses!$D$2:$D$500,"40-49",Responses!$CD$2:$CD$500,"S3 Overloaded Jugglers")/'2-Segments'!$C$19,"")</f>
        <v>0.15</v>
      </c>
      <c r="F105" s="21" t="n">
        <f aca="false">IFERROR(COUNTIFS(Responses!$D$2:$D$500,"40-49",Responses!$CD$2:$CD$500,"S4 Power Instructors")/'2-Segments'!$C$20,"")</f>
        <v>0.294117647058824</v>
      </c>
      <c r="G105" s="21" t="n">
        <f aca="false">IFERROR(COUNTIFS(Responses!$D$2:$D$500,"40-49",Responses!$CD$2:$CD$500,"S5 Reluctant Instructors")/'2-Segments'!$C$21,"")</f>
        <v>0.466666666666667</v>
      </c>
      <c r="H105" s="21" t="n">
        <f aca="false">IFERROR(COUNTIFS(Responses!$D$2:$D$500,"40-49",Responses!$CD$2:$CD$500,"S6 Access-First Learners")/'2-Segments'!$C$22,"")</f>
        <v>0</v>
      </c>
      <c r="I105" s="32" t="n">
        <f aca="false">COUNTIF(Responses!$D$2:$D$500,"40-49")/'1-Patterns'!$C$4</f>
        <v>0.120967741935484</v>
      </c>
    </row>
    <row r="106" customFormat="false" ht="15" hidden="false" customHeight="false" outlineLevel="0" collapsed="false">
      <c r="B106" s="8" t="s">
        <v>300</v>
      </c>
      <c r="C106" s="21" t="n">
        <f aca="false">IFERROR(COUNTIFS(Responses!$D$2:$D$500,"50+",Responses!$CD$2:$CD$500,"S1 Deadline Sprinters")/'2-Segments'!$C$17,"")</f>
        <v>0</v>
      </c>
      <c r="D106" s="21" t="n">
        <f aca="false">IFERROR(COUNTIFS(Responses!$D$2:$D$500,"50+",Responses!$CD$2:$CD$500,"S2 Structured Scholars")/'2-Segments'!$C$18,"")</f>
        <v>0</v>
      </c>
      <c r="E106" s="21" t="n">
        <f aca="false">IFERROR(COUNTIFS(Responses!$D$2:$D$500,"50+",Responses!$CD$2:$CD$500,"S3 Overloaded Jugglers")/'2-Segments'!$C$19,"")</f>
        <v>0</v>
      </c>
      <c r="F106" s="21" t="n">
        <f aca="false">IFERROR(COUNTIFS(Responses!$D$2:$D$500,"50+",Responses!$CD$2:$CD$500,"S4 Power Instructors")/'2-Segments'!$C$20,"")</f>
        <v>0.176470588235294</v>
      </c>
      <c r="G106" s="21" t="n">
        <f aca="false">IFERROR(COUNTIFS(Responses!$D$2:$D$500,"50+",Responses!$CD$2:$CD$500,"S5 Reluctant Instructors")/'2-Segments'!$C$21,"")</f>
        <v>0.2</v>
      </c>
      <c r="H106" s="21" t="n">
        <f aca="false">IFERROR(COUNTIFS(Responses!$D$2:$D$500,"50+",Responses!$CD$2:$CD$500,"S6 Access-First Learners")/'2-Segments'!$C$22,"")</f>
        <v>0</v>
      </c>
      <c r="I106" s="32" t="n">
        <f aca="false">COUNTIF(Responses!$D$2:$D$500,"50+")/'1-Patterns'!$C$4</f>
        <v>0.0483870967741936</v>
      </c>
    </row>
    <row r="107" customFormat="false" ht="15" hidden="false" customHeight="false" outlineLevel="0" collapsed="false">
      <c r="B107" s="8" t="s">
        <v>303</v>
      </c>
      <c r="C107" s="21" t="n">
        <f aca="false">IFERROR(COUNTIFS(Responses!$D$2:$D$500,"na",Responses!$CD$2:$CD$500,"S1 Deadline Sprinters")/'2-Segments'!$C$17,"")</f>
        <v>0.0294117647058824</v>
      </c>
      <c r="D107" s="21" t="n">
        <f aca="false">IFERROR(COUNTIFS(Responses!$D$2:$D$500,"na",Responses!$CD$2:$CD$500,"S2 Structured Scholars")/'2-Segments'!$C$18,"")</f>
        <v>0</v>
      </c>
      <c r="E107" s="21" t="n">
        <f aca="false">IFERROR(COUNTIFS(Responses!$D$2:$D$500,"na",Responses!$CD$2:$CD$500,"S3 Overloaded Jugglers")/'2-Segments'!$C$19,"")</f>
        <v>0</v>
      </c>
      <c r="F107" s="21" t="n">
        <f aca="false">IFERROR(COUNTIFS(Responses!$D$2:$D$500,"na",Responses!$CD$2:$CD$500,"S4 Power Instructors")/'2-Segments'!$C$20,"")</f>
        <v>0</v>
      </c>
      <c r="G107" s="21" t="n">
        <f aca="false">IFERROR(COUNTIFS(Responses!$D$2:$D$500,"na",Responses!$CD$2:$CD$500,"S5 Reluctant Instructors")/'2-Segments'!$C$21,"")</f>
        <v>0</v>
      </c>
      <c r="H107" s="21" t="n">
        <f aca="false">IFERROR(COUNTIFS(Responses!$D$2:$D$500,"na",Responses!$CD$2:$CD$500,"S6 Access-First Learners")/'2-Segments'!$C$22,"")</f>
        <v>0</v>
      </c>
      <c r="I107" s="32" t="n">
        <f aca="false">COUNTIF(Responses!$D$2:$D$500,"na")/'1-Patterns'!$C$4</f>
        <v>0.00806451612903226</v>
      </c>
    </row>
    <row r="109" customFormat="false" ht="19.5" hidden="false" customHeight="true" outlineLevel="0" collapsed="false">
      <c r="A109" s="3" t="s">
        <v>1217</v>
      </c>
      <c r="B109" s="4"/>
      <c r="C109" s="4"/>
      <c r="D109" s="4"/>
      <c r="E109" s="4"/>
      <c r="F109" s="4"/>
      <c r="G109" s="4"/>
      <c r="H109" s="4"/>
      <c r="I109" s="4"/>
    </row>
    <row r="110" customFormat="false" ht="23.85" hidden="false" customHeight="false" outlineLevel="0" collapsed="false">
      <c r="B110" s="19" t="s">
        <v>1218</v>
      </c>
      <c r="C110" s="19" t="s">
        <v>643</v>
      </c>
      <c r="D110" s="19" t="s">
        <v>620</v>
      </c>
      <c r="E110" s="19" t="s">
        <v>648</v>
      </c>
      <c r="F110" s="19" t="s">
        <v>614</v>
      </c>
      <c r="G110" s="19" t="s">
        <v>631</v>
      </c>
      <c r="H110" s="19" t="s">
        <v>671</v>
      </c>
      <c r="I110" s="19" t="s">
        <v>1135</v>
      </c>
    </row>
    <row r="111" customFormat="false" ht="15" hidden="false" customHeight="false" outlineLevel="0" collapsed="false">
      <c r="B111" s="8" t="s">
        <v>272</v>
      </c>
      <c r="C111" s="20" t="n">
        <f aca="false">COUNTIFS(Responses!$C$2:$C$500,"bsc",Responses!$CD$2:$CD$500,"S1 Deadline Sprinters")</f>
        <v>25</v>
      </c>
      <c r="D111" s="20" t="n">
        <f aca="false">COUNTIFS(Responses!$C$2:$C$500,"bsc",Responses!$CD$2:$CD$500,"S2 Structured Scholars")</f>
        <v>2</v>
      </c>
      <c r="E111" s="20" t="n">
        <f aca="false">COUNTIFS(Responses!$C$2:$C$500,"bsc",Responses!$CD$2:$CD$500,"S3 Overloaded Jugglers")</f>
        <v>9</v>
      </c>
      <c r="F111" s="20" t="n">
        <f aca="false">COUNTIFS(Responses!$C$2:$C$500,"bsc",Responses!$CD$2:$CD$500,"S4 Power Instructors")</f>
        <v>0</v>
      </c>
      <c r="G111" s="20" t="n">
        <f aca="false">COUNTIFS(Responses!$C$2:$C$500,"bsc",Responses!$CD$2:$CD$500,"S5 Reluctant Instructors")</f>
        <v>0</v>
      </c>
      <c r="H111" s="20" t="n">
        <f aca="false">COUNTIFS(Responses!$C$2:$C$500,"bsc",Responses!$CD$2:$CD$500,"S6 Access-First Learners")</f>
        <v>5</v>
      </c>
      <c r="I111" s="25" t="n">
        <f aca="false">SUM(C111:H111)</f>
        <v>41</v>
      </c>
    </row>
    <row r="112" customFormat="false" ht="15" hidden="false" customHeight="false" outlineLevel="0" collapsed="false">
      <c r="B112" s="8" t="s">
        <v>275</v>
      </c>
      <c r="C112" s="20" t="n">
        <f aca="false">COUNTIFS(Responses!$C$2:$C$500,"msc",Responses!$CD$2:$CD$500,"S1 Deadline Sprinters")</f>
        <v>9</v>
      </c>
      <c r="D112" s="20" t="n">
        <f aca="false">COUNTIFS(Responses!$C$2:$C$500,"msc",Responses!$CD$2:$CD$500,"S2 Structured Scholars")</f>
        <v>18</v>
      </c>
      <c r="E112" s="20" t="n">
        <f aca="false">COUNTIFS(Responses!$C$2:$C$500,"msc",Responses!$CD$2:$CD$500,"S3 Overloaded Jugglers")</f>
        <v>11</v>
      </c>
      <c r="F112" s="20" t="n">
        <f aca="false">COUNTIFS(Responses!$C$2:$C$500,"msc",Responses!$CD$2:$CD$500,"S4 Power Instructors")</f>
        <v>0</v>
      </c>
      <c r="G112" s="20" t="n">
        <f aca="false">COUNTIFS(Responses!$C$2:$C$500,"msc",Responses!$CD$2:$CD$500,"S5 Reluctant Instructors")</f>
        <v>0</v>
      </c>
      <c r="H112" s="20" t="n">
        <f aca="false">COUNTIFS(Responses!$C$2:$C$500,"msc",Responses!$CD$2:$CD$500,"S6 Access-First Learners")</f>
        <v>4</v>
      </c>
      <c r="I112" s="25" t="n">
        <f aca="false">SUM(C112:H112)</f>
        <v>42</v>
      </c>
    </row>
    <row r="113" customFormat="false" ht="15" hidden="false" customHeight="false" outlineLevel="0" collapsed="false">
      <c r="B113" s="8" t="s">
        <v>278</v>
      </c>
      <c r="C113" s="20" t="n">
        <f aca="false">COUNTIFS(Responses!$C$2:$C$500,"phd",Responses!$CD$2:$CD$500,"S1 Deadline Sprinters")</f>
        <v>0</v>
      </c>
      <c r="D113" s="20" t="n">
        <f aca="false">COUNTIFS(Responses!$C$2:$C$500,"phd",Responses!$CD$2:$CD$500,"S2 Structured Scholars")</f>
        <v>9</v>
      </c>
      <c r="E113" s="20" t="n">
        <f aca="false">COUNTIFS(Responses!$C$2:$C$500,"phd",Responses!$CD$2:$CD$500,"S3 Overloaded Jugglers")</f>
        <v>0</v>
      </c>
      <c r="F113" s="20" t="n">
        <f aca="false">COUNTIFS(Responses!$C$2:$C$500,"phd",Responses!$CD$2:$CD$500,"S4 Power Instructors")</f>
        <v>0</v>
      </c>
      <c r="G113" s="20" t="n">
        <f aca="false">COUNTIFS(Responses!$C$2:$C$500,"phd",Responses!$CD$2:$CD$500,"S5 Reluctant Instructors")</f>
        <v>0</v>
      </c>
      <c r="H113" s="20" t="n">
        <f aca="false">COUNTIFS(Responses!$C$2:$C$500,"phd",Responses!$CD$2:$CD$500,"S6 Access-First Learners")</f>
        <v>0</v>
      </c>
      <c r="I113" s="25" t="n">
        <f aca="false">SUM(C113:H113)</f>
        <v>9</v>
      </c>
    </row>
    <row r="114" customFormat="false" ht="15" hidden="false" customHeight="false" outlineLevel="0" collapsed="false">
      <c r="B114" s="8" t="s">
        <v>281</v>
      </c>
      <c r="C114" s="20" t="n">
        <f aca="false">COUNTIFS(Responses!$C$2:$C$500,"lecturer",Responses!$CD$2:$CD$500,"S1 Deadline Sprinters")</f>
        <v>0</v>
      </c>
      <c r="D114" s="20" t="n">
        <f aca="false">COUNTIFS(Responses!$C$2:$C$500,"lecturer",Responses!$CD$2:$CD$500,"S2 Structured Scholars")</f>
        <v>0</v>
      </c>
      <c r="E114" s="20" t="n">
        <f aca="false">COUNTIFS(Responses!$C$2:$C$500,"lecturer",Responses!$CD$2:$CD$500,"S3 Overloaded Jugglers")</f>
        <v>0</v>
      </c>
      <c r="F114" s="20" t="n">
        <f aca="false">COUNTIFS(Responses!$C$2:$C$500,"lecturer",Responses!$CD$2:$CD$500,"S4 Power Instructors")</f>
        <v>9</v>
      </c>
      <c r="G114" s="20" t="n">
        <f aca="false">COUNTIFS(Responses!$C$2:$C$500,"lecturer",Responses!$CD$2:$CD$500,"S5 Reluctant Instructors")</f>
        <v>11</v>
      </c>
      <c r="H114" s="20" t="n">
        <f aca="false">COUNTIFS(Responses!$C$2:$C$500,"lecturer",Responses!$CD$2:$CD$500,"S6 Access-First Learners")</f>
        <v>0</v>
      </c>
      <c r="I114" s="25" t="n">
        <f aca="false">SUM(C114:H114)</f>
        <v>20</v>
      </c>
    </row>
    <row r="115" customFormat="false" ht="15" hidden="false" customHeight="false" outlineLevel="0" collapsed="false">
      <c r="B115" s="8" t="s">
        <v>284</v>
      </c>
      <c r="C115" s="20" t="n">
        <f aca="false">COUNTIFS(Responses!$C$2:$C$500,"ta",Responses!$CD$2:$CD$500,"S1 Deadline Sprinters")</f>
        <v>0</v>
      </c>
      <c r="D115" s="20" t="n">
        <f aca="false">COUNTIFS(Responses!$C$2:$C$500,"ta",Responses!$CD$2:$CD$500,"S2 Structured Scholars")</f>
        <v>0</v>
      </c>
      <c r="E115" s="20" t="n">
        <f aca="false">COUNTIFS(Responses!$C$2:$C$500,"ta",Responses!$CD$2:$CD$500,"S3 Overloaded Jugglers")</f>
        <v>0</v>
      </c>
      <c r="F115" s="20" t="n">
        <f aca="false">COUNTIFS(Responses!$C$2:$C$500,"ta",Responses!$CD$2:$CD$500,"S4 Power Instructors")</f>
        <v>5</v>
      </c>
      <c r="G115" s="20" t="n">
        <f aca="false">COUNTIFS(Responses!$C$2:$C$500,"ta",Responses!$CD$2:$CD$500,"S5 Reluctant Instructors")</f>
        <v>1</v>
      </c>
      <c r="H115" s="20" t="n">
        <f aca="false">COUNTIFS(Responses!$C$2:$C$500,"ta",Responses!$CD$2:$CD$500,"S6 Access-First Learners")</f>
        <v>0</v>
      </c>
      <c r="I115" s="25" t="n">
        <f aca="false">SUM(C115:H115)</f>
        <v>6</v>
      </c>
    </row>
    <row r="116" customFormat="false" ht="15" hidden="false" customHeight="false" outlineLevel="0" collapsed="false">
      <c r="B116" s="8" t="s">
        <v>287</v>
      </c>
      <c r="C116" s="20" t="n">
        <f aca="false">COUNTIFS(Responses!$C$2:$C$500,"staff",Responses!$CD$2:$CD$500,"S1 Deadline Sprinters")</f>
        <v>0</v>
      </c>
      <c r="D116" s="20" t="n">
        <f aca="false">COUNTIFS(Responses!$C$2:$C$500,"staff",Responses!$CD$2:$CD$500,"S2 Structured Scholars")</f>
        <v>0</v>
      </c>
      <c r="E116" s="20" t="n">
        <f aca="false">COUNTIFS(Responses!$C$2:$C$500,"staff",Responses!$CD$2:$CD$500,"S3 Overloaded Jugglers")</f>
        <v>0</v>
      </c>
      <c r="F116" s="20" t="n">
        <f aca="false">COUNTIFS(Responses!$C$2:$C$500,"staff",Responses!$CD$2:$CD$500,"S4 Power Instructors")</f>
        <v>3</v>
      </c>
      <c r="G116" s="20" t="n">
        <f aca="false">COUNTIFS(Responses!$C$2:$C$500,"staff",Responses!$CD$2:$CD$500,"S5 Reluctant Instructors")</f>
        <v>3</v>
      </c>
      <c r="H116" s="20" t="n">
        <f aca="false">COUNTIFS(Responses!$C$2:$C$500,"staff",Responses!$CD$2:$CD$500,"S6 Access-First Learners")</f>
        <v>0</v>
      </c>
      <c r="I116" s="25" t="n">
        <f aca="false">SUM(C116:H116)</f>
        <v>6</v>
      </c>
    </row>
    <row r="118" customFormat="false" ht="19.5" hidden="false" customHeight="true" outlineLevel="0" collapsed="false">
      <c r="A118" s="3" t="s">
        <v>1219</v>
      </c>
      <c r="B118" s="4"/>
      <c r="C118" s="4"/>
      <c r="D118" s="4"/>
      <c r="E118" s="4"/>
      <c r="F118" s="4"/>
      <c r="G118" s="4"/>
      <c r="H118" s="4"/>
      <c r="I118" s="4"/>
    </row>
    <row r="119" customFormat="false" ht="35.05" hidden="false" customHeight="false" outlineLevel="0" collapsed="false">
      <c r="B119" s="19" t="s">
        <v>607</v>
      </c>
      <c r="C119" s="19" t="s">
        <v>1220</v>
      </c>
      <c r="D119" s="19" t="s">
        <v>1221</v>
      </c>
      <c r="E119" s="19" t="s">
        <v>1222</v>
      </c>
      <c r="F119" s="19" t="s">
        <v>1223</v>
      </c>
      <c r="G119" s="19" t="s">
        <v>1224</v>
      </c>
    </row>
    <row r="120" customFormat="false" ht="150" hidden="false" customHeight="true" outlineLevel="0" collapsed="false">
      <c r="B120" s="33" t="s">
        <v>643</v>
      </c>
      <c r="C120" s="8" t="s">
        <v>1225</v>
      </c>
      <c r="D120" s="8" t="s">
        <v>1226</v>
      </c>
      <c r="E120" s="8" t="s">
        <v>1227</v>
      </c>
      <c r="F120" s="8" t="s">
        <v>1228</v>
      </c>
      <c r="G120" s="8" t="s">
        <v>1229</v>
      </c>
      <c r="H120" s="8"/>
      <c r="I120" s="8"/>
    </row>
    <row r="121" customFormat="false" ht="150" hidden="false" customHeight="true" outlineLevel="0" collapsed="false">
      <c r="B121" s="33" t="s">
        <v>620</v>
      </c>
      <c r="C121" s="8" t="s">
        <v>1230</v>
      </c>
      <c r="D121" s="8" t="s">
        <v>1231</v>
      </c>
      <c r="E121" s="8" t="s">
        <v>1232</v>
      </c>
      <c r="F121" s="8" t="s">
        <v>1233</v>
      </c>
      <c r="G121" s="8" t="s">
        <v>1234</v>
      </c>
      <c r="H121" s="8"/>
      <c r="I121" s="8"/>
    </row>
    <row r="122" customFormat="false" ht="150" hidden="false" customHeight="true" outlineLevel="0" collapsed="false">
      <c r="B122" s="33" t="s">
        <v>648</v>
      </c>
      <c r="C122" s="8" t="s">
        <v>1235</v>
      </c>
      <c r="D122" s="8" t="s">
        <v>1236</v>
      </c>
      <c r="E122" s="8" t="s">
        <v>1237</v>
      </c>
      <c r="F122" s="8" t="s">
        <v>1238</v>
      </c>
      <c r="G122" s="8" t="s">
        <v>1239</v>
      </c>
      <c r="H122" s="8"/>
      <c r="I122" s="8"/>
    </row>
    <row r="123" customFormat="false" ht="150" hidden="false" customHeight="true" outlineLevel="0" collapsed="false">
      <c r="B123" s="33" t="s">
        <v>614</v>
      </c>
      <c r="C123" s="8" t="s">
        <v>1240</v>
      </c>
      <c r="D123" s="8" t="s">
        <v>1241</v>
      </c>
      <c r="E123" s="8" t="s">
        <v>1242</v>
      </c>
      <c r="F123" s="8" t="s">
        <v>1243</v>
      </c>
      <c r="G123" s="8" t="s">
        <v>1244</v>
      </c>
      <c r="H123" s="8"/>
      <c r="I123" s="8"/>
    </row>
    <row r="124" customFormat="false" ht="150" hidden="false" customHeight="true" outlineLevel="0" collapsed="false">
      <c r="B124" s="33" t="s">
        <v>631</v>
      </c>
      <c r="C124" s="8" t="s">
        <v>1245</v>
      </c>
      <c r="D124" s="8" t="s">
        <v>1246</v>
      </c>
      <c r="E124" s="8" t="s">
        <v>1247</v>
      </c>
      <c r="F124" s="8" t="s">
        <v>1248</v>
      </c>
      <c r="G124" s="8" t="s">
        <v>1249</v>
      </c>
      <c r="H124" s="8"/>
      <c r="I124" s="8"/>
    </row>
    <row r="125" customFormat="false" ht="150" hidden="false" customHeight="true" outlineLevel="0" collapsed="false">
      <c r="B125" s="33" t="s">
        <v>671</v>
      </c>
      <c r="C125" s="8" t="s">
        <v>1250</v>
      </c>
      <c r="D125" s="8" t="s">
        <v>1251</v>
      </c>
      <c r="E125" s="8" t="s">
        <v>1252</v>
      </c>
      <c r="F125" s="8" t="s">
        <v>1253</v>
      </c>
      <c r="G125" s="8" t="s">
        <v>1254</v>
      </c>
      <c r="H125" s="8"/>
      <c r="I125" s="8"/>
    </row>
    <row r="127" customFormat="false" ht="19.5" hidden="false" customHeight="true" outlineLevel="0" collapsed="false">
      <c r="A127" s="3" t="s">
        <v>1255</v>
      </c>
      <c r="B127" s="4"/>
      <c r="C127" s="4"/>
      <c r="D127" s="4"/>
      <c r="E127" s="4"/>
      <c r="F127" s="4"/>
      <c r="G127" s="4"/>
      <c r="H127" s="4"/>
      <c r="I127" s="4"/>
    </row>
    <row r="128" customFormat="false" ht="32.8" hidden="false" customHeight="false" outlineLevel="0" collapsed="false">
      <c r="B128" s="26" t="s">
        <v>1256</v>
      </c>
    </row>
    <row r="129" customFormat="false" ht="73.1" hidden="false" customHeight="false" outlineLevel="0" collapsed="false">
      <c r="B129" s="34" t="s">
        <v>1257</v>
      </c>
      <c r="C129" s="34" t="s">
        <v>609</v>
      </c>
      <c r="D129" s="34" t="s">
        <v>1258</v>
      </c>
      <c r="E129" s="34" t="s">
        <v>609</v>
      </c>
      <c r="F129" s="34" t="s">
        <v>1259</v>
      </c>
      <c r="G129" s="34" t="s">
        <v>609</v>
      </c>
      <c r="H129" s="34" t="s">
        <v>1260</v>
      </c>
      <c r="I129" s="34" t="s">
        <v>609</v>
      </c>
      <c r="J129" s="34" t="s">
        <v>1261</v>
      </c>
      <c r="K129" s="34" t="s">
        <v>609</v>
      </c>
      <c r="L129" s="34" t="s">
        <v>1262</v>
      </c>
      <c r="M129" s="34" t="s">
        <v>609</v>
      </c>
    </row>
    <row r="130" customFormat="false" ht="15" hidden="false" customHeight="false" outlineLevel="0" collapsed="false">
      <c r="B130" s="35" t="n">
        <v>-1.973</v>
      </c>
      <c r="C130" s="35" t="n">
        <v>-2.043</v>
      </c>
      <c r="D130" s="35" t="n">
        <v>2.285</v>
      </c>
      <c r="E130" s="35" t="n">
        <v>2.185</v>
      </c>
      <c r="F130" s="35" t="n">
        <v>0.031</v>
      </c>
      <c r="G130" s="35" t="n">
        <v>0.529</v>
      </c>
      <c r="H130" s="35" t="n">
        <v>-1.762</v>
      </c>
      <c r="I130" s="35" t="n">
        <v>1.714</v>
      </c>
      <c r="J130" s="35" t="n">
        <v>3.71</v>
      </c>
      <c r="K130" s="35" t="n">
        <v>-2.842</v>
      </c>
      <c r="L130" s="35" t="n">
        <v>2.59</v>
      </c>
      <c r="M130" s="35" t="n">
        <v>0.625</v>
      </c>
    </row>
    <row r="131" customFormat="false" ht="15" hidden="false" customHeight="false" outlineLevel="0" collapsed="false">
      <c r="B131" s="35" t="n">
        <v>-3.062</v>
      </c>
      <c r="C131" s="35" t="n">
        <v>-1.57</v>
      </c>
      <c r="D131" s="35" t="n">
        <v>0.003</v>
      </c>
      <c r="E131" s="35" t="n">
        <v>2.569</v>
      </c>
      <c r="F131" s="35" t="n">
        <v>0.177</v>
      </c>
      <c r="G131" s="35" t="n">
        <v>-2.707</v>
      </c>
      <c r="H131" s="35" t="n">
        <v>-0.603</v>
      </c>
      <c r="I131" s="35" t="n">
        <v>2.912</v>
      </c>
      <c r="J131" s="35" t="n">
        <v>3.895</v>
      </c>
      <c r="K131" s="35" t="n">
        <v>-2.756</v>
      </c>
      <c r="L131" s="35" t="n">
        <v>3.132</v>
      </c>
      <c r="M131" s="35" t="n">
        <v>0.811</v>
      </c>
    </row>
    <row r="132" customFormat="false" ht="15" hidden="false" customHeight="false" outlineLevel="0" collapsed="false">
      <c r="B132" s="35" t="n">
        <v>-2.868</v>
      </c>
      <c r="C132" s="35" t="n">
        <v>-0.913</v>
      </c>
      <c r="D132" s="35" t="n">
        <v>1.942</v>
      </c>
      <c r="E132" s="35" t="n">
        <v>1.078</v>
      </c>
      <c r="F132" s="35" t="n">
        <v>2.107</v>
      </c>
      <c r="G132" s="35" t="n">
        <v>-1.759</v>
      </c>
      <c r="H132" s="35" t="n">
        <v>-1.096</v>
      </c>
      <c r="I132" s="35" t="n">
        <v>1.546</v>
      </c>
      <c r="J132" s="35" t="n">
        <v>1.753</v>
      </c>
      <c r="K132" s="35" t="n">
        <v>-1.743</v>
      </c>
      <c r="L132" s="35" t="n">
        <v>4.201</v>
      </c>
      <c r="M132" s="35" t="n">
        <v>0.395</v>
      </c>
    </row>
    <row r="133" customFormat="false" ht="15" hidden="false" customHeight="false" outlineLevel="0" collapsed="false">
      <c r="B133" s="35" t="n">
        <v>-2.239</v>
      </c>
      <c r="C133" s="35" t="n">
        <v>-0.635</v>
      </c>
      <c r="D133" s="35" t="n">
        <v>0.922</v>
      </c>
      <c r="E133" s="35" t="n">
        <v>1.664</v>
      </c>
      <c r="F133" s="35" t="n">
        <v>0.479</v>
      </c>
      <c r="G133" s="35" t="n">
        <v>-2.245</v>
      </c>
      <c r="H133" s="35" t="n">
        <v>-1.471</v>
      </c>
      <c r="I133" s="35" t="n">
        <v>1.555</v>
      </c>
      <c r="J133" s="35" t="n">
        <v>1.775</v>
      </c>
      <c r="K133" s="35" t="n">
        <v>-1.471</v>
      </c>
      <c r="L133" s="35" t="n">
        <v>2.696</v>
      </c>
      <c r="M133" s="35" t="n">
        <v>0.378</v>
      </c>
    </row>
    <row r="134" customFormat="false" ht="15" hidden="false" customHeight="false" outlineLevel="0" collapsed="false">
      <c r="B134" s="35" t="n">
        <v>-3.233</v>
      </c>
      <c r="C134" s="35" t="n">
        <v>-0.566</v>
      </c>
      <c r="D134" s="35" t="n">
        <v>0.791</v>
      </c>
      <c r="E134" s="35" t="n">
        <v>1.322</v>
      </c>
      <c r="F134" s="35" t="n">
        <v>-0.494</v>
      </c>
      <c r="G134" s="35" t="n">
        <v>-2.08</v>
      </c>
      <c r="H134" s="35" t="n">
        <v>0.503</v>
      </c>
      <c r="I134" s="35" t="n">
        <v>0.981</v>
      </c>
      <c r="J134" s="35" t="n">
        <v>0.787</v>
      </c>
      <c r="K134" s="35" t="n">
        <v>-1.881</v>
      </c>
      <c r="L134" s="35" t="n">
        <v>3.133</v>
      </c>
      <c r="M134" s="35" t="n">
        <v>-0.27</v>
      </c>
    </row>
    <row r="135" customFormat="false" ht="15" hidden="false" customHeight="false" outlineLevel="0" collapsed="false">
      <c r="B135" s="35" t="n">
        <v>-3.206</v>
      </c>
      <c r="C135" s="35" t="n">
        <v>-2.275</v>
      </c>
      <c r="D135" s="35" t="n">
        <v>0.704</v>
      </c>
      <c r="E135" s="35" t="n">
        <v>1.077</v>
      </c>
      <c r="F135" s="35" t="n">
        <v>-0.339</v>
      </c>
      <c r="G135" s="35" t="n">
        <v>-2.286</v>
      </c>
      <c r="H135" s="35" t="n">
        <v>-2.213</v>
      </c>
      <c r="I135" s="35" t="n">
        <v>1.424</v>
      </c>
      <c r="J135" s="35" t="n">
        <v>1.795</v>
      </c>
      <c r="K135" s="35" t="n">
        <v>-2.381</v>
      </c>
      <c r="L135" s="35" t="n">
        <v>3.979</v>
      </c>
      <c r="M135" s="35" t="n">
        <v>0.971</v>
      </c>
    </row>
    <row r="136" customFormat="false" ht="15" hidden="false" customHeight="false" outlineLevel="0" collapsed="false">
      <c r="B136" s="35" t="n">
        <v>-1.609</v>
      </c>
      <c r="C136" s="35" t="n">
        <v>-0.673</v>
      </c>
      <c r="D136" s="35" t="n">
        <v>2.556</v>
      </c>
      <c r="E136" s="35" t="n">
        <v>1.847</v>
      </c>
      <c r="F136" s="35" t="n">
        <v>1.342</v>
      </c>
      <c r="G136" s="35" t="n">
        <v>-2.389</v>
      </c>
      <c r="H136" s="35" t="n">
        <v>-1.292</v>
      </c>
      <c r="I136" s="35" t="n">
        <v>2.957</v>
      </c>
      <c r="J136" s="35" t="n">
        <v>2.585</v>
      </c>
      <c r="K136" s="35" t="n">
        <v>-2.523</v>
      </c>
      <c r="L136" s="35" t="n">
        <v>3.047</v>
      </c>
      <c r="M136" s="35" t="n">
        <v>0.068</v>
      </c>
    </row>
    <row r="137" customFormat="false" ht="15" hidden="false" customHeight="false" outlineLevel="0" collapsed="false">
      <c r="B137" s="35" t="n">
        <v>-2.621</v>
      </c>
      <c r="C137" s="35" t="n">
        <v>-0.135</v>
      </c>
      <c r="D137" s="35" t="n">
        <v>1.014</v>
      </c>
      <c r="E137" s="35" t="n">
        <v>1.616</v>
      </c>
      <c r="F137" s="35" t="n">
        <v>1.117</v>
      </c>
      <c r="G137" s="35" t="n">
        <v>-2.575</v>
      </c>
      <c r="H137" s="35" t="n">
        <v>-0.282</v>
      </c>
      <c r="I137" s="35" t="n">
        <v>1.574</v>
      </c>
      <c r="J137" s="35" t="n">
        <v>3.553</v>
      </c>
      <c r="K137" s="35" t="n">
        <v>-2.172</v>
      </c>
      <c r="L137" s="35" t="n">
        <v>3.312</v>
      </c>
      <c r="M137" s="35" t="n">
        <v>0.992</v>
      </c>
    </row>
    <row r="138" customFormat="false" ht="15" hidden="false" customHeight="false" outlineLevel="0" collapsed="false">
      <c r="B138" s="35" t="n">
        <v>-2.374</v>
      </c>
      <c r="C138" s="35" t="n">
        <v>-0.138</v>
      </c>
      <c r="D138" s="35" t="n">
        <v>2.535</v>
      </c>
      <c r="E138" s="35" t="n">
        <v>1.641</v>
      </c>
      <c r="F138" s="35" t="n">
        <v>1.107</v>
      </c>
      <c r="G138" s="35" t="n">
        <v>-1.342</v>
      </c>
      <c r="H138" s="35" t="n">
        <v>-0.791</v>
      </c>
      <c r="I138" s="35" t="n">
        <v>1.223</v>
      </c>
      <c r="J138" s="35" t="n">
        <v>2.466</v>
      </c>
      <c r="K138" s="35" t="n">
        <v>-0.466</v>
      </c>
      <c r="L138" s="35" t="n">
        <v>2.705</v>
      </c>
      <c r="M138" s="35" t="n">
        <v>0.767</v>
      </c>
    </row>
    <row r="139" customFormat="false" ht="15" hidden="false" customHeight="false" outlineLevel="0" collapsed="false">
      <c r="B139" s="35" t="n">
        <v>-4.256</v>
      </c>
      <c r="C139" s="35" t="n">
        <v>0.886</v>
      </c>
      <c r="D139" s="35" t="n">
        <v>1.143</v>
      </c>
      <c r="E139" s="35" t="n">
        <v>1.02</v>
      </c>
      <c r="F139" s="35" t="n">
        <v>0.506</v>
      </c>
      <c r="G139" s="35" t="n">
        <v>-1.65</v>
      </c>
      <c r="H139" s="35" t="n">
        <v>-0.7</v>
      </c>
      <c r="I139" s="35" t="n">
        <v>2.569</v>
      </c>
      <c r="J139" s="35" t="n">
        <v>2.557</v>
      </c>
      <c r="K139" s="35" t="n">
        <v>-3.302</v>
      </c>
    </row>
    <row r="140" customFormat="false" ht="15" hidden="false" customHeight="false" outlineLevel="0" collapsed="false">
      <c r="B140" s="35" t="n">
        <v>-3.459</v>
      </c>
      <c r="C140" s="35" t="n">
        <v>-0.656</v>
      </c>
      <c r="D140" s="35" t="n">
        <v>1.677</v>
      </c>
      <c r="E140" s="35" t="n">
        <v>3.097</v>
      </c>
      <c r="F140" s="35" t="n">
        <v>-0.324</v>
      </c>
      <c r="G140" s="35" t="n">
        <v>-0.967</v>
      </c>
      <c r="H140" s="35" t="n">
        <v>-0.616</v>
      </c>
      <c r="I140" s="35" t="n">
        <v>2.101</v>
      </c>
      <c r="J140" s="35" t="n">
        <v>1.623</v>
      </c>
      <c r="K140" s="35" t="n">
        <v>-2.327</v>
      </c>
    </row>
    <row r="141" customFormat="false" ht="15" hidden="false" customHeight="false" outlineLevel="0" collapsed="false">
      <c r="B141" s="35" t="n">
        <v>-3.105</v>
      </c>
      <c r="C141" s="35" t="n">
        <v>1.777</v>
      </c>
      <c r="D141" s="35" t="n">
        <v>1.041</v>
      </c>
      <c r="E141" s="35" t="n">
        <v>1.423</v>
      </c>
      <c r="F141" s="35" t="n">
        <v>2.068</v>
      </c>
      <c r="G141" s="35" t="n">
        <v>-2.6</v>
      </c>
      <c r="H141" s="35" t="n">
        <v>-0.813</v>
      </c>
      <c r="I141" s="35" t="n">
        <v>1.191</v>
      </c>
      <c r="J141" s="35" t="n">
        <v>2.334</v>
      </c>
      <c r="K141" s="35" t="n">
        <v>-2.059</v>
      </c>
    </row>
    <row r="142" customFormat="false" ht="15" hidden="false" customHeight="false" outlineLevel="0" collapsed="false">
      <c r="B142" s="35" t="n">
        <v>-1.768</v>
      </c>
      <c r="C142" s="35" t="n">
        <v>-0.692</v>
      </c>
      <c r="D142" s="35" t="n">
        <v>0.307</v>
      </c>
      <c r="E142" s="35" t="n">
        <v>2.961</v>
      </c>
      <c r="F142" s="35" t="n">
        <v>1.349</v>
      </c>
      <c r="G142" s="35" t="n">
        <v>-1.235</v>
      </c>
      <c r="H142" s="35" t="n">
        <v>-1.796</v>
      </c>
      <c r="I142" s="35" t="n">
        <v>2.394</v>
      </c>
      <c r="J142" s="35" t="n">
        <v>3.669</v>
      </c>
      <c r="K142" s="35" t="n">
        <v>-3.088</v>
      </c>
    </row>
    <row r="143" customFormat="false" ht="15" hidden="false" customHeight="false" outlineLevel="0" collapsed="false">
      <c r="B143" s="35" t="n">
        <v>-3.928</v>
      </c>
      <c r="C143" s="35" t="n">
        <v>-1.434</v>
      </c>
      <c r="D143" s="35" t="n">
        <v>1.034</v>
      </c>
      <c r="E143" s="35" t="n">
        <v>2.557</v>
      </c>
      <c r="F143" s="35" t="n">
        <v>0.655</v>
      </c>
      <c r="G143" s="35" t="n">
        <v>-0.755</v>
      </c>
      <c r="H143" s="35" t="n">
        <v>-0.452</v>
      </c>
      <c r="I143" s="35" t="n">
        <v>1.669</v>
      </c>
      <c r="J143" s="35" t="n">
        <v>1.98</v>
      </c>
      <c r="K143" s="35" t="n">
        <v>-1.648</v>
      </c>
    </row>
    <row r="144" customFormat="false" ht="15" hidden="false" customHeight="false" outlineLevel="0" collapsed="false">
      <c r="B144" s="35" t="n">
        <v>-3.668</v>
      </c>
      <c r="C144" s="35" t="n">
        <v>-1.18</v>
      </c>
      <c r="D144" s="35" t="n">
        <v>1.172</v>
      </c>
      <c r="E144" s="35" t="n">
        <v>2.19</v>
      </c>
      <c r="F144" s="35" t="n">
        <v>1.261</v>
      </c>
      <c r="G144" s="35" t="n">
        <v>-2.083</v>
      </c>
      <c r="H144" s="35" t="n">
        <v>-1.57</v>
      </c>
      <c r="I144" s="35" t="n">
        <v>0.659</v>
      </c>
      <c r="J144" s="35" t="n">
        <v>2.32</v>
      </c>
      <c r="K144" s="35" t="n">
        <v>-2.685</v>
      </c>
    </row>
    <row r="145" customFormat="false" ht="15" hidden="false" customHeight="false" outlineLevel="0" collapsed="false">
      <c r="B145" s="35" t="n">
        <v>-2.967</v>
      </c>
      <c r="C145" s="35" t="n">
        <v>-0.543</v>
      </c>
      <c r="D145" s="35" t="n">
        <v>1.182</v>
      </c>
      <c r="E145" s="35" t="n">
        <v>1.342</v>
      </c>
      <c r="F145" s="35" t="n">
        <v>0.86</v>
      </c>
      <c r="G145" s="35" t="n">
        <v>-1.467</v>
      </c>
      <c r="H145" s="35" t="n">
        <v>-0.798</v>
      </c>
      <c r="I145" s="35" t="n">
        <v>1.698</v>
      </c>
    </row>
    <row r="146" customFormat="false" ht="15" hidden="false" customHeight="false" outlineLevel="0" collapsed="false">
      <c r="B146" s="35" t="n">
        <v>-2.946</v>
      </c>
      <c r="C146" s="35" t="n">
        <v>-1.054</v>
      </c>
      <c r="D146" s="35" t="n">
        <v>0.875</v>
      </c>
      <c r="E146" s="35" t="n">
        <v>2.553</v>
      </c>
      <c r="F146" s="35" t="n">
        <v>2.439</v>
      </c>
      <c r="G146" s="35" t="n">
        <v>-1.167</v>
      </c>
      <c r="H146" s="35" t="n">
        <v>-1.74</v>
      </c>
      <c r="I146" s="35" t="n">
        <v>1.857</v>
      </c>
    </row>
    <row r="147" customFormat="false" ht="15" hidden="false" customHeight="false" outlineLevel="0" collapsed="false">
      <c r="B147" s="35" t="n">
        <v>-3.935</v>
      </c>
      <c r="C147" s="35" t="n">
        <v>-0.182</v>
      </c>
      <c r="D147" s="35" t="n">
        <v>1.321</v>
      </c>
      <c r="E147" s="35" t="n">
        <v>2.133</v>
      </c>
      <c r="F147" s="35" t="n">
        <v>-0.512</v>
      </c>
      <c r="G147" s="35" t="n">
        <v>-0.254</v>
      </c>
    </row>
    <row r="148" customFormat="false" ht="15" hidden="false" customHeight="false" outlineLevel="0" collapsed="false">
      <c r="B148" s="35" t="n">
        <v>-1.747</v>
      </c>
      <c r="C148" s="35" t="n">
        <v>0.497</v>
      </c>
      <c r="D148" s="35" t="n">
        <v>2.123</v>
      </c>
      <c r="E148" s="35" t="n">
        <v>2.973</v>
      </c>
      <c r="F148" s="35" t="n">
        <v>-0.322</v>
      </c>
      <c r="G148" s="35" t="n">
        <v>-0.325</v>
      </c>
    </row>
    <row r="149" customFormat="false" ht="15" hidden="false" customHeight="false" outlineLevel="0" collapsed="false">
      <c r="B149" s="35" t="n">
        <v>-2.51</v>
      </c>
      <c r="C149" s="35" t="n">
        <v>-1.008</v>
      </c>
      <c r="D149" s="35" t="n">
        <v>0.077</v>
      </c>
      <c r="E149" s="35" t="n">
        <v>2.397</v>
      </c>
      <c r="F149" s="35" t="n">
        <v>1.027</v>
      </c>
      <c r="G149" s="35" t="n">
        <v>-1.48</v>
      </c>
    </row>
    <row r="150" customFormat="false" ht="15" hidden="false" customHeight="false" outlineLevel="0" collapsed="false">
      <c r="B150" s="35" t="n">
        <v>-3.472</v>
      </c>
      <c r="C150" s="35" t="n">
        <v>-1.647</v>
      </c>
      <c r="D150" s="35" t="n">
        <v>0.299</v>
      </c>
      <c r="E150" s="35" t="n">
        <v>3.015</v>
      </c>
    </row>
    <row r="151" customFormat="false" ht="15" hidden="false" customHeight="false" outlineLevel="0" collapsed="false">
      <c r="B151" s="35" t="n">
        <v>-2.132</v>
      </c>
      <c r="C151" s="35" t="n">
        <v>-1.576</v>
      </c>
      <c r="D151" s="35" t="n">
        <v>0.609</v>
      </c>
      <c r="E151" s="35" t="n">
        <v>1.76</v>
      </c>
    </row>
    <row r="152" customFormat="false" ht="15" hidden="false" customHeight="false" outlineLevel="0" collapsed="false">
      <c r="B152" s="35" t="n">
        <v>-3.175</v>
      </c>
      <c r="C152" s="35" t="n">
        <v>-0.461</v>
      </c>
      <c r="D152" s="35" t="n">
        <v>0.469</v>
      </c>
      <c r="E152" s="35" t="n">
        <v>1.897</v>
      </c>
    </row>
    <row r="153" customFormat="false" ht="15" hidden="false" customHeight="false" outlineLevel="0" collapsed="false">
      <c r="B153" s="35" t="n">
        <v>-3.027</v>
      </c>
      <c r="C153" s="35" t="n">
        <v>-2.417</v>
      </c>
      <c r="D153" s="35" t="n">
        <v>1.068</v>
      </c>
      <c r="E153" s="35" t="n">
        <v>1.494</v>
      </c>
    </row>
    <row r="154" customFormat="false" ht="15" hidden="false" customHeight="false" outlineLevel="0" collapsed="false">
      <c r="B154" s="35" t="n">
        <v>-2.082</v>
      </c>
      <c r="C154" s="35" t="n">
        <v>0.465</v>
      </c>
      <c r="D154" s="35" t="n">
        <v>0.428</v>
      </c>
      <c r="E154" s="35" t="n">
        <v>2.539</v>
      </c>
    </row>
    <row r="155" customFormat="false" ht="15" hidden="false" customHeight="false" outlineLevel="0" collapsed="false">
      <c r="B155" s="35" t="n">
        <v>-1.317</v>
      </c>
      <c r="C155" s="35" t="n">
        <v>-1.552</v>
      </c>
      <c r="D155" s="35" t="n">
        <v>0.396</v>
      </c>
      <c r="E155" s="35" t="n">
        <v>1.701</v>
      </c>
    </row>
    <row r="156" customFormat="false" ht="15" hidden="false" customHeight="false" outlineLevel="0" collapsed="false">
      <c r="B156" s="35" t="n">
        <v>-2.248</v>
      </c>
      <c r="C156" s="35" t="n">
        <v>-2.375</v>
      </c>
      <c r="D156" s="35" t="n">
        <v>0.869</v>
      </c>
      <c r="E156" s="35" t="n">
        <v>1.268</v>
      </c>
    </row>
    <row r="157" customFormat="false" ht="15" hidden="false" customHeight="false" outlineLevel="0" collapsed="false">
      <c r="B157" s="35" t="n">
        <v>-2.355</v>
      </c>
      <c r="C157" s="35" t="n">
        <v>0.07</v>
      </c>
      <c r="D157" s="35" t="n">
        <v>0.745</v>
      </c>
      <c r="E157" s="35" t="n">
        <v>0.993</v>
      </c>
    </row>
    <row r="158" customFormat="false" ht="15" hidden="false" customHeight="false" outlineLevel="0" collapsed="false">
      <c r="B158" s="35" t="n">
        <v>-3.948</v>
      </c>
      <c r="C158" s="35" t="n">
        <v>0.046</v>
      </c>
      <c r="D158" s="35" t="n">
        <v>1.352</v>
      </c>
      <c r="E158" s="35" t="n">
        <v>1.857</v>
      </c>
    </row>
    <row r="159" customFormat="false" ht="15" hidden="false" customHeight="false" outlineLevel="0" collapsed="false">
      <c r="B159" s="35" t="n">
        <v>-2.218</v>
      </c>
      <c r="C159" s="35" t="n">
        <v>-0.195</v>
      </c>
    </row>
    <row r="160" customFormat="false" ht="15" hidden="false" customHeight="false" outlineLevel="0" collapsed="false">
      <c r="B160" s="35" t="n">
        <v>-3.667</v>
      </c>
      <c r="C160" s="35" t="n">
        <v>-0.819</v>
      </c>
    </row>
    <row r="161" customFormat="false" ht="15" hidden="false" customHeight="false" outlineLevel="0" collapsed="false">
      <c r="B161" s="35" t="n">
        <v>-2.58</v>
      </c>
      <c r="C161" s="35" t="n">
        <v>-1.476</v>
      </c>
    </row>
    <row r="162" customFormat="false" ht="15" hidden="false" customHeight="false" outlineLevel="0" collapsed="false">
      <c r="B162" s="35" t="n">
        <v>-1.566</v>
      </c>
      <c r="C162" s="35" t="n">
        <v>-1.475</v>
      </c>
    </row>
    <row r="163" customFormat="false" ht="15" hidden="false" customHeight="false" outlineLevel="0" collapsed="false">
      <c r="B163" s="35" t="n">
        <v>-2.311</v>
      </c>
      <c r="C163" s="35" t="n">
        <v>-0.803</v>
      </c>
    </row>
  </sheetData>
  <mergeCells count="14">
    <mergeCell ref="B2:I2"/>
    <mergeCell ref="B13:I13"/>
    <mergeCell ref="E17:I17"/>
    <mergeCell ref="E18:I18"/>
    <mergeCell ref="E19:I19"/>
    <mergeCell ref="E20:I20"/>
    <mergeCell ref="E21:I21"/>
    <mergeCell ref="E22:I22"/>
    <mergeCell ref="G120:I120"/>
    <mergeCell ref="G121:I121"/>
    <mergeCell ref="G122:I122"/>
    <mergeCell ref="G123:I123"/>
    <mergeCell ref="G124:I124"/>
    <mergeCell ref="G125:I125"/>
  </mergeCells>
  <conditionalFormatting sqref="C27:H27">
    <cfRule type="colorScale" priority="2">
      <colorScale>
        <cfvo type="min" val="0"/>
        <cfvo type="max" val="0"/>
        <color rgb="FFFFFFFF"/>
        <color rgb="FF7FCBA4"/>
      </colorScale>
    </cfRule>
  </conditionalFormatting>
  <conditionalFormatting sqref="C28:H28">
    <cfRule type="colorScale" priority="3">
      <colorScale>
        <cfvo type="min" val="0"/>
        <cfvo type="max" val="0"/>
        <color rgb="FFFFFFFF"/>
        <color rgb="FF7FCBA4"/>
      </colorScale>
    </cfRule>
  </conditionalFormatting>
  <conditionalFormatting sqref="C29:H29">
    <cfRule type="colorScale" priority="4">
      <colorScale>
        <cfvo type="min" val="0"/>
        <cfvo type="max" val="0"/>
        <color rgb="FFFFFFFF"/>
        <color rgb="FF7FCBA4"/>
      </colorScale>
    </cfRule>
  </conditionalFormatting>
  <conditionalFormatting sqref="C30:H30">
    <cfRule type="colorScale" priority="5">
      <colorScale>
        <cfvo type="min" val="0"/>
        <cfvo type="max" val="0"/>
        <color rgb="FFFFFFFF"/>
        <color rgb="FF7FCBA4"/>
      </colorScale>
    </cfRule>
  </conditionalFormatting>
  <conditionalFormatting sqref="C31:H31">
    <cfRule type="colorScale" priority="6">
      <colorScale>
        <cfvo type="min" val="0"/>
        <cfvo type="max" val="0"/>
        <color rgb="FFFFFFFF"/>
        <color rgb="FF7FCBA4"/>
      </colorScale>
    </cfRule>
  </conditionalFormatting>
  <conditionalFormatting sqref="C32:H32">
    <cfRule type="colorScale" priority="7">
      <colorScale>
        <cfvo type="min" val="0"/>
        <cfvo type="max" val="0"/>
        <color rgb="FFFFFFFF"/>
        <color rgb="FF7FCBA4"/>
      </colorScale>
    </cfRule>
  </conditionalFormatting>
  <conditionalFormatting sqref="C33:H33">
    <cfRule type="colorScale" priority="8">
      <colorScale>
        <cfvo type="min" val="0"/>
        <cfvo type="max" val="0"/>
        <color rgb="FFFFFFFF"/>
        <color rgb="FF7FCBA4"/>
      </colorScale>
    </cfRule>
  </conditionalFormatting>
  <conditionalFormatting sqref="C34:H34">
    <cfRule type="colorScale" priority="9">
      <colorScale>
        <cfvo type="min" val="0"/>
        <cfvo type="max" val="0"/>
        <color rgb="FFFFFFFF"/>
        <color rgb="FF7FCBA4"/>
      </colorScale>
    </cfRule>
  </conditionalFormatting>
  <conditionalFormatting sqref="C35:H35">
    <cfRule type="colorScale" priority="10">
      <colorScale>
        <cfvo type="min" val="0"/>
        <cfvo type="max" val="0"/>
        <color rgb="FFFFFFFF"/>
        <color rgb="FF7FCBA4"/>
      </colorScale>
    </cfRule>
  </conditionalFormatting>
  <conditionalFormatting sqref="C36:H36">
    <cfRule type="colorScale" priority="11">
      <colorScale>
        <cfvo type="min" val="0"/>
        <cfvo type="max" val="0"/>
        <color rgb="FFFFFFFF"/>
        <color rgb="FF7FCBA4"/>
      </colorScale>
    </cfRule>
  </conditionalFormatting>
  <conditionalFormatting sqref="C37:H37">
    <cfRule type="colorScale" priority="12">
      <colorScale>
        <cfvo type="min" val="0"/>
        <cfvo type="max" val="0"/>
        <color rgb="FFFFFFFF"/>
        <color rgb="FF7FCBA4"/>
      </colorScale>
    </cfRule>
  </conditionalFormatting>
  <conditionalFormatting sqref="C38:H38">
    <cfRule type="colorScale" priority="13">
      <colorScale>
        <cfvo type="min" val="0"/>
        <cfvo type="max" val="0"/>
        <color rgb="FFFFFFFF"/>
        <color rgb="FF7FCBA4"/>
      </colorScale>
    </cfRule>
  </conditionalFormatting>
  <conditionalFormatting sqref="C40:H40">
    <cfRule type="colorScale" priority="14">
      <colorScale>
        <cfvo type="min" val="0"/>
        <cfvo type="max" val="0"/>
        <color rgb="FFFFFFFF"/>
        <color rgb="FF7FCBA4"/>
      </colorScale>
    </cfRule>
  </conditionalFormatting>
  <conditionalFormatting sqref="C41:H41">
    <cfRule type="colorScale" priority="15">
      <colorScale>
        <cfvo type="min" val="0"/>
        <cfvo type="max" val="0"/>
        <color rgb="FFFFFFFF"/>
        <color rgb="FF7FCBA4"/>
      </colorScale>
    </cfRule>
  </conditionalFormatting>
  <conditionalFormatting sqref="C42:H42">
    <cfRule type="colorScale" priority="16">
      <colorScale>
        <cfvo type="min" val="0"/>
        <cfvo type="max" val="0"/>
        <color rgb="FFFFFFFF"/>
        <color rgb="FF7FCBA4"/>
      </colorScale>
    </cfRule>
  </conditionalFormatting>
  <conditionalFormatting sqref="C43:H43">
    <cfRule type="colorScale" priority="17">
      <colorScale>
        <cfvo type="min" val="0"/>
        <cfvo type="max" val="0"/>
        <color rgb="FFFFFFFF"/>
        <color rgb="FF7FCBA4"/>
      </colorScale>
    </cfRule>
  </conditionalFormatting>
  <conditionalFormatting sqref="C44:H44">
    <cfRule type="colorScale" priority="18">
      <colorScale>
        <cfvo type="min" val="0"/>
        <cfvo type="max" val="0"/>
        <color rgb="FFFFFFFF"/>
        <color rgb="FF7FCBA4"/>
      </colorScale>
    </cfRule>
  </conditionalFormatting>
  <conditionalFormatting sqref="C45:H45">
    <cfRule type="colorScale" priority="19">
      <colorScale>
        <cfvo type="min" val="0"/>
        <cfvo type="max" val="0"/>
        <color rgb="FFFFFFFF"/>
        <color rgb="FF7FCBA4"/>
      </colorScale>
    </cfRule>
  </conditionalFormatting>
  <conditionalFormatting sqref="C46:H46">
    <cfRule type="colorScale" priority="20">
      <colorScale>
        <cfvo type="min" val="0"/>
        <cfvo type="max" val="0"/>
        <color rgb="FFFFFFFF"/>
        <color rgb="FF7FCBA4"/>
      </colorScale>
    </cfRule>
  </conditionalFormatting>
  <conditionalFormatting sqref="C47:H47">
    <cfRule type="colorScale" priority="21">
      <colorScale>
        <cfvo type="min" val="0"/>
        <cfvo type="max" val="0"/>
        <color rgb="FFFFFFFF"/>
        <color rgb="FF7FCBA4"/>
      </colorScale>
    </cfRule>
  </conditionalFormatting>
  <conditionalFormatting sqref="C48:H48">
    <cfRule type="colorScale" priority="22">
      <colorScale>
        <cfvo type="min" val="0"/>
        <cfvo type="max" val="0"/>
        <color rgb="FFFFFFFF"/>
        <color rgb="FF7FCBA4"/>
      </colorScale>
    </cfRule>
  </conditionalFormatting>
  <conditionalFormatting sqref="C49:H49">
    <cfRule type="colorScale" priority="23">
      <colorScale>
        <cfvo type="min" val="0"/>
        <cfvo type="max" val="0"/>
        <color rgb="FFFFFFFF"/>
        <color rgb="FF7FCBA4"/>
      </colorScale>
    </cfRule>
  </conditionalFormatting>
  <conditionalFormatting sqref="C50:H50">
    <cfRule type="colorScale" priority="24">
      <colorScale>
        <cfvo type="min" val="0"/>
        <cfvo type="max" val="0"/>
        <color rgb="FFFFFFFF"/>
        <color rgb="FF7FCBA4"/>
      </colorScale>
    </cfRule>
  </conditionalFormatting>
  <conditionalFormatting sqref="C52:H52">
    <cfRule type="colorScale" priority="25">
      <colorScale>
        <cfvo type="min" val="0"/>
        <cfvo type="max" val="0"/>
        <color rgb="FFFFFFFF"/>
        <color rgb="FF7FCBA4"/>
      </colorScale>
    </cfRule>
  </conditionalFormatting>
  <conditionalFormatting sqref="C53:H53">
    <cfRule type="colorScale" priority="26">
      <colorScale>
        <cfvo type="min" val="0"/>
        <cfvo type="max" val="0"/>
        <color rgb="FFFFFFFF"/>
        <color rgb="FF7FCBA4"/>
      </colorScale>
    </cfRule>
  </conditionalFormatting>
  <conditionalFormatting sqref="C54:H54">
    <cfRule type="colorScale" priority="27">
      <colorScale>
        <cfvo type="min" val="0"/>
        <cfvo type="max" val="0"/>
        <color rgb="FFFFFFFF"/>
        <color rgb="FF7FCBA4"/>
      </colorScale>
    </cfRule>
  </conditionalFormatting>
  <conditionalFormatting sqref="C55:H55">
    <cfRule type="colorScale" priority="28">
      <colorScale>
        <cfvo type="min" val="0"/>
        <cfvo type="max" val="0"/>
        <color rgb="FFFFFFFF"/>
        <color rgb="FF7FCBA4"/>
      </colorScale>
    </cfRule>
  </conditionalFormatting>
  <conditionalFormatting sqref="C56:H56">
    <cfRule type="colorScale" priority="29">
      <colorScale>
        <cfvo type="min" val="0"/>
        <cfvo type="max" val="0"/>
        <color rgb="FFFFFFFF"/>
        <color rgb="FF7FCBA4"/>
      </colorScale>
    </cfRule>
  </conditionalFormatting>
  <conditionalFormatting sqref="C57:H57">
    <cfRule type="colorScale" priority="30">
      <colorScale>
        <cfvo type="min" val="0"/>
        <cfvo type="max" val="0"/>
        <color rgb="FFFFFFFF"/>
        <color rgb="FF7FCBA4"/>
      </colorScale>
    </cfRule>
  </conditionalFormatting>
  <conditionalFormatting sqref="C58:H58">
    <cfRule type="colorScale" priority="31">
      <colorScale>
        <cfvo type="min" val="0"/>
        <cfvo type="max" val="0"/>
        <color rgb="FFFFFFFF"/>
        <color rgb="FF7FCBA4"/>
      </colorScale>
    </cfRule>
  </conditionalFormatting>
  <conditionalFormatting sqref="C59:H59">
    <cfRule type="colorScale" priority="32">
      <colorScale>
        <cfvo type="min" val="0"/>
        <cfvo type="max" val="0"/>
        <color rgb="FFFFFFFF"/>
        <color rgb="FF7FCBA4"/>
      </colorScale>
    </cfRule>
  </conditionalFormatting>
  <conditionalFormatting sqref="C61:H61">
    <cfRule type="colorScale" priority="33">
      <colorScale>
        <cfvo type="min" val="0"/>
        <cfvo type="max" val="0"/>
        <color rgb="FFFFFFFF"/>
        <color rgb="FF7FCBA4"/>
      </colorScale>
    </cfRule>
  </conditionalFormatting>
  <conditionalFormatting sqref="C62:H62">
    <cfRule type="colorScale" priority="34">
      <colorScale>
        <cfvo type="min" val="0"/>
        <cfvo type="max" val="0"/>
        <color rgb="FFFFFFFF"/>
        <color rgb="FF7FCBA4"/>
      </colorScale>
    </cfRule>
  </conditionalFormatting>
  <conditionalFormatting sqref="C63:H63">
    <cfRule type="colorScale" priority="35">
      <colorScale>
        <cfvo type="min" val="0"/>
        <cfvo type="max" val="0"/>
        <color rgb="FFFFFFFF"/>
        <color rgb="FF7FCBA4"/>
      </colorScale>
    </cfRule>
  </conditionalFormatting>
  <conditionalFormatting sqref="C64:H64">
    <cfRule type="colorScale" priority="36">
      <colorScale>
        <cfvo type="min" val="0"/>
        <cfvo type="max" val="0"/>
        <color rgb="FFFFFFFF"/>
        <color rgb="FF7FCBA4"/>
      </colorScale>
    </cfRule>
  </conditionalFormatting>
  <conditionalFormatting sqref="C65:H65">
    <cfRule type="colorScale" priority="37">
      <colorScale>
        <cfvo type="min" val="0"/>
        <cfvo type="max" val="0"/>
        <color rgb="FFFFFFFF"/>
        <color rgb="FF7FCBA4"/>
      </colorScale>
    </cfRule>
  </conditionalFormatting>
  <conditionalFormatting sqref="C67:H67">
    <cfRule type="colorScale" priority="38">
      <colorScale>
        <cfvo type="min" val="0"/>
        <cfvo type="max" val="0"/>
        <color rgb="FFFFFFFF"/>
        <color rgb="FF7FCBA4"/>
      </colorScale>
    </cfRule>
  </conditionalFormatting>
  <conditionalFormatting sqref="C68:H68">
    <cfRule type="colorScale" priority="39">
      <colorScale>
        <cfvo type="min" val="0"/>
        <cfvo type="max" val="0"/>
        <color rgb="FFFFFFFF"/>
        <color rgb="FF7FCBA4"/>
      </colorScale>
    </cfRule>
  </conditionalFormatting>
  <conditionalFormatting sqref="C69:H69">
    <cfRule type="colorScale" priority="40">
      <colorScale>
        <cfvo type="min" val="0"/>
        <cfvo type="max" val="0"/>
        <color rgb="FFFFFFFF"/>
        <color rgb="FF7FCBA4"/>
      </colorScale>
    </cfRule>
  </conditionalFormatting>
  <conditionalFormatting sqref="C70:H70">
    <cfRule type="colorScale" priority="41">
      <colorScale>
        <cfvo type="min" val="0"/>
        <cfvo type="max" val="0"/>
        <color rgb="FFFFFFFF"/>
        <color rgb="FF7FCBA4"/>
      </colorScale>
    </cfRule>
  </conditionalFormatting>
  <conditionalFormatting sqref="C71:H71">
    <cfRule type="colorScale" priority="42">
      <colorScale>
        <cfvo type="min" val="0"/>
        <cfvo type="max" val="0"/>
        <color rgb="FFFFFFFF"/>
        <color rgb="FF7FCBA4"/>
      </colorScale>
    </cfRule>
  </conditionalFormatting>
  <conditionalFormatting sqref="C72:H72">
    <cfRule type="colorScale" priority="43">
      <colorScale>
        <cfvo type="min" val="0"/>
        <cfvo type="max" val="0"/>
        <color rgb="FFFFFFFF"/>
        <color rgb="FF7FCBA4"/>
      </colorScale>
    </cfRule>
  </conditionalFormatting>
  <conditionalFormatting sqref="C74:H74">
    <cfRule type="colorScale" priority="44">
      <colorScale>
        <cfvo type="min" val="0"/>
        <cfvo type="max" val="0"/>
        <color rgb="FFFFFFFF"/>
        <color rgb="FF7FCBA4"/>
      </colorScale>
    </cfRule>
  </conditionalFormatting>
  <conditionalFormatting sqref="C75:H75">
    <cfRule type="colorScale" priority="45">
      <colorScale>
        <cfvo type="min" val="0"/>
        <cfvo type="max" val="0"/>
        <color rgb="FFFFFFFF"/>
        <color rgb="FF7FCBA4"/>
      </colorScale>
    </cfRule>
  </conditionalFormatting>
  <conditionalFormatting sqref="C76:H76">
    <cfRule type="colorScale" priority="46">
      <colorScale>
        <cfvo type="min" val="0"/>
        <cfvo type="max" val="0"/>
        <color rgb="FFFFFFFF"/>
        <color rgb="FF7FCBA4"/>
      </colorScale>
    </cfRule>
  </conditionalFormatting>
  <conditionalFormatting sqref="C77:H77">
    <cfRule type="colorScale" priority="47">
      <colorScale>
        <cfvo type="min" val="0"/>
        <cfvo type="max" val="0"/>
        <color rgb="FFFFFFFF"/>
        <color rgb="FF7FCBA4"/>
      </colorScale>
    </cfRule>
  </conditionalFormatting>
  <conditionalFormatting sqref="C78:H78">
    <cfRule type="colorScale" priority="48">
      <colorScale>
        <cfvo type="min" val="0"/>
        <cfvo type="max" val="0"/>
        <color rgb="FFFFFFFF"/>
        <color rgb="FF7FCBA4"/>
      </colorScale>
    </cfRule>
  </conditionalFormatting>
  <conditionalFormatting sqref="C79:H79">
    <cfRule type="colorScale" priority="49">
      <colorScale>
        <cfvo type="min" val="0"/>
        <cfvo type="max" val="0"/>
        <color rgb="FFFFFFFF"/>
        <color rgb="FF7FCBA4"/>
      </colorScale>
    </cfRule>
  </conditionalFormatting>
  <conditionalFormatting sqref="C80:H80">
    <cfRule type="colorScale" priority="50">
      <colorScale>
        <cfvo type="min" val="0"/>
        <cfvo type="max" val="0"/>
        <color rgb="FFFFFFFF"/>
        <color rgb="FF7FCBA4"/>
      </colorScale>
    </cfRule>
  </conditionalFormatting>
  <conditionalFormatting sqref="C81:H81">
    <cfRule type="colorScale" priority="51">
      <colorScale>
        <cfvo type="min" val="0"/>
        <cfvo type="max" val="0"/>
        <color rgb="FFFFFFFF"/>
        <color rgb="FF7FCBA4"/>
      </colorScale>
    </cfRule>
  </conditionalFormatting>
  <conditionalFormatting sqref="C82:H82">
    <cfRule type="colorScale" priority="52">
      <colorScale>
        <cfvo type="min" val="0"/>
        <cfvo type="max" val="0"/>
        <color rgb="FFFFFFFF"/>
        <color rgb="FF7FCBA4"/>
      </colorScale>
    </cfRule>
  </conditionalFormatting>
  <conditionalFormatting sqref="C83:H83">
    <cfRule type="colorScale" priority="53">
      <colorScale>
        <cfvo type="min" val="0"/>
        <cfvo type="max" val="0"/>
        <color rgb="FFFFFFFF"/>
        <color rgb="FF7FCBA4"/>
      </colorScale>
    </cfRule>
  </conditionalFormatting>
  <conditionalFormatting sqref="C84:H84">
    <cfRule type="colorScale" priority="54">
      <colorScale>
        <cfvo type="min" val="0"/>
        <cfvo type="max" val="0"/>
        <color rgb="FFFFFFFF"/>
        <color rgb="FF7FCBA4"/>
      </colorScale>
    </cfRule>
  </conditionalFormatting>
  <conditionalFormatting sqref="C85:H85">
    <cfRule type="colorScale" priority="55">
      <colorScale>
        <cfvo type="min" val="0"/>
        <cfvo type="max" val="0"/>
        <color rgb="FFFFFFFF"/>
        <color rgb="FF7FCBA4"/>
      </colorScale>
    </cfRule>
  </conditionalFormatting>
  <conditionalFormatting sqref="C87:H87">
    <cfRule type="colorScale" priority="56">
      <colorScale>
        <cfvo type="min" val="0"/>
        <cfvo type="max" val="0"/>
        <color rgb="FFFFFFFF"/>
        <color rgb="FF7FCBA4"/>
      </colorScale>
    </cfRule>
  </conditionalFormatting>
  <conditionalFormatting sqref="C88:H88">
    <cfRule type="colorScale" priority="57">
      <colorScale>
        <cfvo type="min" val="0"/>
        <cfvo type="max" val="0"/>
        <color rgb="FFFFFFFF"/>
        <color rgb="FF7FCBA4"/>
      </colorScale>
    </cfRule>
  </conditionalFormatting>
  <conditionalFormatting sqref="C89:H89">
    <cfRule type="colorScale" priority="58">
      <colorScale>
        <cfvo type="min" val="0"/>
        <cfvo type="max" val="0"/>
        <color rgb="FFFFFFFF"/>
        <color rgb="FF7FCBA4"/>
      </colorScale>
    </cfRule>
  </conditionalFormatting>
  <conditionalFormatting sqref="C90:H90">
    <cfRule type="colorScale" priority="59">
      <colorScale>
        <cfvo type="min" val="0"/>
        <cfvo type="max" val="0"/>
        <color rgb="FFFFFFFF"/>
        <color rgb="FF7FCBA4"/>
      </colorScale>
    </cfRule>
  </conditionalFormatting>
  <conditionalFormatting sqref="C91:H91">
    <cfRule type="colorScale" priority="60">
      <colorScale>
        <cfvo type="min" val="0"/>
        <cfvo type="max" val="0"/>
        <color rgb="FFFFFFFF"/>
        <color rgb="FF7FCBA4"/>
      </colorScale>
    </cfRule>
  </conditionalFormatting>
  <conditionalFormatting sqref="C92:H92">
    <cfRule type="colorScale" priority="61">
      <colorScale>
        <cfvo type="min" val="0"/>
        <cfvo type="max" val="0"/>
        <color rgb="FFFFFFFF"/>
        <color rgb="FF7FCBA4"/>
      </colorScale>
    </cfRule>
  </conditionalFormatting>
  <conditionalFormatting sqref="C94:H94">
    <cfRule type="colorScale" priority="62">
      <colorScale>
        <cfvo type="min" val="0"/>
        <cfvo type="max" val="0"/>
        <color rgb="FFFFFFFF"/>
        <color rgb="FF7FCBA4"/>
      </colorScale>
    </cfRule>
  </conditionalFormatting>
  <conditionalFormatting sqref="C95:H95">
    <cfRule type="colorScale" priority="63">
      <colorScale>
        <cfvo type="min" val="0"/>
        <cfvo type="max" val="0"/>
        <color rgb="FFFFFFFF"/>
        <color rgb="FF7FCBA4"/>
      </colorScale>
    </cfRule>
  </conditionalFormatting>
  <conditionalFormatting sqref="C96:H96">
    <cfRule type="colorScale" priority="64">
      <colorScale>
        <cfvo type="min" val="0"/>
        <cfvo type="max" val="0"/>
        <color rgb="FFFFFFFF"/>
        <color rgb="FF7FCBA4"/>
      </colorScale>
    </cfRule>
  </conditionalFormatting>
  <conditionalFormatting sqref="C97:H97">
    <cfRule type="colorScale" priority="65">
      <colorScale>
        <cfvo type="min" val="0"/>
        <cfvo type="max" val="0"/>
        <color rgb="FFFFFFFF"/>
        <color rgb="FF7FCBA4"/>
      </colorScale>
    </cfRule>
  </conditionalFormatting>
  <conditionalFormatting sqref="C98:H98">
    <cfRule type="colorScale" priority="66">
      <colorScale>
        <cfvo type="min" val="0"/>
        <cfvo type="max" val="0"/>
        <color rgb="FFFFFFFF"/>
        <color rgb="FF7FCBA4"/>
      </colorScale>
    </cfRule>
  </conditionalFormatting>
  <conditionalFormatting sqref="C99:H99">
    <cfRule type="colorScale" priority="67">
      <colorScale>
        <cfvo type="min" val="0"/>
        <cfvo type="max" val="0"/>
        <color rgb="FFFFFFFF"/>
        <color rgb="FF7FCBA4"/>
      </colorScale>
    </cfRule>
  </conditionalFormatting>
  <conditionalFormatting sqref="C101:H101">
    <cfRule type="colorScale" priority="68">
      <colorScale>
        <cfvo type="min" val="0"/>
        <cfvo type="max" val="0"/>
        <color rgb="FFFFFFFF"/>
        <color rgb="FF7FCBA4"/>
      </colorScale>
    </cfRule>
  </conditionalFormatting>
  <conditionalFormatting sqref="C102:H102">
    <cfRule type="colorScale" priority="69">
      <colorScale>
        <cfvo type="min" val="0"/>
        <cfvo type="max" val="0"/>
        <color rgb="FFFFFFFF"/>
        <color rgb="FF7FCBA4"/>
      </colorScale>
    </cfRule>
  </conditionalFormatting>
  <conditionalFormatting sqref="C103:H103">
    <cfRule type="colorScale" priority="70">
      <colorScale>
        <cfvo type="min" val="0"/>
        <cfvo type="max" val="0"/>
        <color rgb="FFFFFFFF"/>
        <color rgb="FF7FCBA4"/>
      </colorScale>
    </cfRule>
  </conditionalFormatting>
  <conditionalFormatting sqref="C104:H104">
    <cfRule type="colorScale" priority="71">
      <colorScale>
        <cfvo type="min" val="0"/>
        <cfvo type="max" val="0"/>
        <color rgb="FFFFFFFF"/>
        <color rgb="FF7FCBA4"/>
      </colorScale>
    </cfRule>
  </conditionalFormatting>
  <conditionalFormatting sqref="C105:H105">
    <cfRule type="colorScale" priority="72">
      <colorScale>
        <cfvo type="min" val="0"/>
        <cfvo type="max" val="0"/>
        <color rgb="FFFFFFFF"/>
        <color rgb="FF7FCBA4"/>
      </colorScale>
    </cfRule>
  </conditionalFormatting>
  <conditionalFormatting sqref="C106:H106">
    <cfRule type="colorScale" priority="73">
      <colorScale>
        <cfvo type="min" val="0"/>
        <cfvo type="max" val="0"/>
        <color rgb="FFFFFFFF"/>
        <color rgb="FF7FCBA4"/>
      </colorScale>
    </cfRule>
  </conditionalFormatting>
  <conditionalFormatting sqref="C107:H107">
    <cfRule type="colorScale" priority="74">
      <colorScale>
        <cfvo type="min" val="0"/>
        <cfvo type="max" val="0"/>
        <color rgb="FFFFFFFF"/>
        <color rgb="FF7FCBA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5"/>
    <col collapsed="false" customWidth="true" hidden="false" outlineLevel="0" max="5" min="4" style="0" width="17"/>
    <col collapsed="false" customWidth="true" hidden="false" outlineLevel="0" max="6" min="6" style="0" width="19"/>
    <col collapsed="false" customWidth="true" hidden="false" outlineLevel="0" max="7" min="7" style="0" width="15"/>
    <col collapsed="false" customWidth="true" hidden="false" outlineLevel="0" max="8" min="8" style="0" width="17"/>
    <col collapsed="false" customWidth="true" hidden="false" outlineLevel="0" max="9" min="9" style="0" width="15"/>
    <col collapsed="false" customWidth="true" hidden="false" outlineLevel="0" max="10" min="10" style="0" width="19"/>
    <col collapsed="false" customWidth="true" hidden="false" outlineLevel="0" max="11" min="11" style="0" width="2"/>
  </cols>
  <sheetData>
    <row r="1" customFormat="false" ht="16.15" hidden="false" customHeight="false" outlineLevel="0" collapsed="false">
      <c r="B1" s="36" t="s">
        <v>1263</v>
      </c>
    </row>
    <row r="2" customFormat="false" ht="15" hidden="false" customHeight="true" outlineLevel="0" collapsed="false">
      <c r="B2" s="11" t="s">
        <v>1264</v>
      </c>
      <c r="C2" s="11"/>
      <c r="D2" s="11"/>
      <c r="E2" s="11"/>
      <c r="F2" s="11"/>
      <c r="G2" s="11"/>
      <c r="H2" s="11"/>
      <c r="I2" s="11"/>
      <c r="J2" s="11"/>
    </row>
    <row r="4" customFormat="false" ht="21.75" hidden="false" customHeight="true" outlineLevel="0" collapsed="false">
      <c r="B4" s="37" t="s">
        <v>1265</v>
      </c>
      <c r="C4" s="37"/>
      <c r="D4" s="38" t="s">
        <v>1266</v>
      </c>
      <c r="E4" s="38"/>
      <c r="F4" s="39" t="s">
        <v>1267</v>
      </c>
      <c r="G4" s="39"/>
      <c r="H4" s="39" t="s">
        <v>1268</v>
      </c>
      <c r="I4" s="39"/>
      <c r="J4" s="40" t="s">
        <v>1269</v>
      </c>
    </row>
    <row r="5" customFormat="false" ht="21.75" hidden="false" customHeight="true" outlineLevel="0" collapsed="false">
      <c r="B5" s="37"/>
      <c r="C5" s="37"/>
      <c r="D5" s="38"/>
      <c r="E5" s="38"/>
      <c r="F5" s="41" t="s">
        <v>1270</v>
      </c>
      <c r="G5" s="41"/>
      <c r="H5" s="41" t="s">
        <v>1271</v>
      </c>
      <c r="I5" s="41"/>
      <c r="J5" s="42"/>
    </row>
    <row r="6" customFormat="false" ht="21.75" hidden="false" customHeight="true" outlineLevel="0" collapsed="false">
      <c r="B6" s="37"/>
      <c r="C6" s="37"/>
      <c r="D6" s="38"/>
      <c r="E6" s="38"/>
      <c r="F6" s="41"/>
      <c r="G6" s="41"/>
      <c r="H6" s="41"/>
      <c r="I6" s="41"/>
      <c r="J6" s="41" t="s">
        <v>1272</v>
      </c>
    </row>
    <row r="7" customFormat="false" ht="21.75" hidden="false" customHeight="true" outlineLevel="0" collapsed="false">
      <c r="B7" s="37"/>
      <c r="C7" s="37"/>
      <c r="D7" s="38"/>
      <c r="E7" s="38"/>
      <c r="F7" s="41"/>
      <c r="G7" s="41"/>
      <c r="H7" s="41"/>
      <c r="I7" s="41"/>
      <c r="J7" s="41"/>
    </row>
    <row r="8" customFormat="false" ht="21.75" hidden="false" customHeight="true" outlineLevel="0" collapsed="false">
      <c r="B8" s="37"/>
      <c r="C8" s="37"/>
      <c r="D8" s="38"/>
      <c r="E8" s="38"/>
      <c r="F8" s="41"/>
      <c r="G8" s="41"/>
      <c r="H8" s="41"/>
      <c r="I8" s="41"/>
      <c r="J8" s="41"/>
    </row>
    <row r="9" customFormat="false" ht="21.75" hidden="false" customHeight="true" outlineLevel="0" collapsed="false">
      <c r="B9" s="37"/>
      <c r="C9" s="37"/>
      <c r="D9" s="38"/>
      <c r="E9" s="38"/>
      <c r="F9" s="41"/>
      <c r="G9" s="41"/>
      <c r="H9" s="41"/>
      <c r="I9" s="41"/>
      <c r="J9" s="41"/>
    </row>
    <row r="10" customFormat="false" ht="21.75" hidden="false" customHeight="true" outlineLevel="0" collapsed="false">
      <c r="B10" s="37"/>
      <c r="C10" s="37"/>
      <c r="D10" s="38"/>
      <c r="E10" s="38"/>
      <c r="F10" s="41"/>
      <c r="G10" s="41"/>
      <c r="H10" s="41"/>
      <c r="I10" s="41"/>
      <c r="J10" s="41"/>
    </row>
    <row r="11" customFormat="false" ht="21.75" hidden="false" customHeight="true" outlineLevel="0" collapsed="false">
      <c r="B11" s="37"/>
      <c r="C11" s="37"/>
      <c r="D11" s="38"/>
      <c r="E11" s="38"/>
      <c r="F11" s="41"/>
      <c r="G11" s="41"/>
      <c r="H11" s="41"/>
      <c r="I11" s="41"/>
      <c r="J11" s="41"/>
    </row>
    <row r="12" customFormat="false" ht="21.75" hidden="false" customHeight="true" outlineLevel="0" collapsed="false">
      <c r="B12" s="43" t="s">
        <v>1273</v>
      </c>
      <c r="C12" s="43"/>
      <c r="D12" s="44" t="s">
        <v>1274</v>
      </c>
      <c r="E12" s="44"/>
      <c r="F12" s="39" t="s">
        <v>1275</v>
      </c>
      <c r="G12" s="39"/>
      <c r="H12" s="39" t="s">
        <v>1276</v>
      </c>
      <c r="I12" s="39"/>
      <c r="J12" s="41"/>
    </row>
    <row r="13" customFormat="false" ht="21.75" hidden="false" customHeight="true" outlineLevel="0" collapsed="false">
      <c r="B13" s="45" t="s">
        <v>1277</v>
      </c>
      <c r="C13" s="45"/>
      <c r="D13" s="46" t="s">
        <v>1278</v>
      </c>
      <c r="E13" s="46"/>
      <c r="F13" s="47" t="s">
        <v>1279</v>
      </c>
      <c r="G13" s="47"/>
      <c r="H13" s="47" t="s">
        <v>1280</v>
      </c>
      <c r="I13" s="47"/>
      <c r="J13" s="41"/>
    </row>
    <row r="14" customFormat="false" ht="21.75" hidden="false" customHeight="true" outlineLevel="0" collapsed="false">
      <c r="B14" s="48"/>
      <c r="C14" s="48"/>
      <c r="D14" s="46"/>
      <c r="E14" s="46"/>
      <c r="F14" s="49" t="s">
        <v>1281</v>
      </c>
      <c r="G14" s="49"/>
      <c r="H14" s="49" t="s">
        <v>1282</v>
      </c>
      <c r="I14" s="49"/>
      <c r="J14" s="41"/>
    </row>
    <row r="15" customFormat="false" ht="21.75" hidden="false" customHeight="true" outlineLevel="0" collapsed="false">
      <c r="B15" s="50" t="s">
        <v>1283</v>
      </c>
      <c r="C15" s="50"/>
      <c r="D15" s="46"/>
      <c r="E15" s="46"/>
      <c r="F15" s="51" t="str">
        <f aca="false">REPT("|",ROUND(G15*30,0))</f>
        <v>||||||||||||||||||||||||||||</v>
      </c>
      <c r="G15" s="52" t="n">
        <f aca="false">COUNTIFS(Responses!$BO$2:$BO$500,"&lt;=2",Responses!$CD$2:$CD$500,"S1 Deadline Sprinters")/'2-Segments'!$C$17</f>
        <v>0.941176470588235</v>
      </c>
      <c r="H15" s="53" t="str">
        <f aca="false">REPT("|",ROUND(I15*30,0))</f>
        <v>||||||||||||||||||||||||</v>
      </c>
      <c r="I15" s="52" t="n">
        <f aca="false">COUNTIFS(Responses!$X$2:$X$500,"phone",Responses!$CD$2:$CD$500,"S1 Deadline Sprinters")/'2-Segments'!$C$17</f>
        <v>0.794117647058824</v>
      </c>
      <c r="J15" s="41"/>
    </row>
    <row r="16" customFormat="false" ht="21.75" hidden="false" customHeight="true" outlineLevel="0" collapsed="false">
      <c r="B16" s="54" t="s">
        <v>1284</v>
      </c>
      <c r="C16" s="54"/>
      <c r="D16" s="46"/>
      <c r="E16" s="46"/>
      <c r="F16" s="49" t="s">
        <v>1285</v>
      </c>
      <c r="G16" s="49"/>
      <c r="H16" s="49" t="s">
        <v>408</v>
      </c>
      <c r="I16" s="49"/>
      <c r="J16" s="41"/>
    </row>
    <row r="17" customFormat="false" ht="21.75" hidden="false" customHeight="true" outlineLevel="0" collapsed="false">
      <c r="B17" s="50" t="s">
        <v>1286</v>
      </c>
      <c r="C17" s="50"/>
      <c r="D17" s="46"/>
      <c r="E17" s="46"/>
      <c r="F17" s="51" t="str">
        <f aca="false">REPT("|",ROUND(G17*30,0))</f>
        <v>||||||||||||||||||||||||||||</v>
      </c>
      <c r="G17" s="52" t="n">
        <f aca="false">COUNTIFS(Responses!$AB$2:$AB$500,1,Responses!$CD$2:$CD$500,"S1 Deadline Sprinters")/'2-Segments'!$C$17</f>
        <v>0.941176470588235</v>
      </c>
      <c r="H17" s="53" t="str">
        <f aca="false">REPT("|",ROUND(I17*30,0))</f>
        <v>|||||</v>
      </c>
      <c r="I17" s="52" t="n">
        <f aca="false">COUNTIFS(Responses!$X$2:$X$500,"laptop",Responses!$CD$2:$CD$500,"S1 Deadline Sprinters")/'2-Segments'!$C$17</f>
        <v>0.176470588235294</v>
      </c>
      <c r="J17" s="41"/>
    </row>
    <row r="18" customFormat="false" ht="21.75" hidden="false" customHeight="true" outlineLevel="0" collapsed="false">
      <c r="B18" s="54" t="s">
        <v>1287</v>
      </c>
      <c r="C18" s="54"/>
      <c r="D18" s="46"/>
      <c r="E18" s="46"/>
      <c r="F18" s="49" t="s">
        <v>1288</v>
      </c>
      <c r="G18" s="49"/>
      <c r="H18" s="49" t="s">
        <v>420</v>
      </c>
      <c r="I18" s="49"/>
      <c r="J18" s="41"/>
    </row>
    <row r="19" customFormat="false" ht="21.75" hidden="false" customHeight="true" outlineLevel="0" collapsed="false">
      <c r="B19" s="50" t="s">
        <v>1289</v>
      </c>
      <c r="C19" s="50"/>
      <c r="D19" s="46"/>
      <c r="E19" s="46"/>
      <c r="F19" s="51" t="str">
        <f aca="false">REPT("|",ROUND(G19*30,0))</f>
        <v>|||||||||||||||||||||||||||</v>
      </c>
      <c r="G19" s="52" t="n">
        <f aca="false">(COUNTIFS(Responses!$Y$2:$Y$500,"lt2",Responses!$CD$2:$CD$500,"S1 Deadline Sprinters")+COUNTIFS(Responses!$Y$2:$Y$500,"2-5",Responses!$CD$2:$CD$500,"S1 Deadline Sprinters"))/'2-Segments'!$C$17</f>
        <v>0.911764705882353</v>
      </c>
      <c r="H19" s="53" t="str">
        <f aca="false">REPT("|",ROUND(I19*30,0))</f>
        <v>|</v>
      </c>
      <c r="I19" s="52" t="n">
        <f aca="false">COUNTIFS(Responses!$X$2:$X$500,"tablet",Responses!$CD$2:$CD$500,"S1 Deadline Sprinters")/'2-Segments'!$C$17</f>
        <v>0.0294117647058824</v>
      </c>
      <c r="J19" s="41"/>
    </row>
    <row r="20" customFormat="false" ht="21.75" hidden="false" customHeight="true" outlineLevel="0" collapsed="false">
      <c r="B20" s="54" t="s">
        <v>1290</v>
      </c>
      <c r="C20" s="54"/>
      <c r="D20" s="46"/>
      <c r="E20" s="46"/>
      <c r="F20" s="49" t="s">
        <v>1291</v>
      </c>
      <c r="G20" s="49"/>
      <c r="H20" s="49" t="s">
        <v>1292</v>
      </c>
      <c r="I20" s="49"/>
      <c r="J20" s="41"/>
    </row>
    <row r="21" customFormat="false" ht="21.75" hidden="false" customHeight="true" outlineLevel="0" collapsed="false">
      <c r="B21" s="50" t="s">
        <v>1293</v>
      </c>
      <c r="C21" s="50"/>
      <c r="D21" s="46"/>
      <c r="E21" s="46"/>
      <c r="F21" s="51" t="str">
        <f aca="false">REPT("|",ROUND(G21*30,0))</f>
        <v>|||||||||||||||||||||||||||</v>
      </c>
      <c r="G21" s="52" t="n">
        <f aca="false">COUNTIFS(Responses!$AY$2:$AY$500,1,Responses!$CD$2:$CD$500,"S1 Deadline Sprinters")/'2-Segments'!$C$17</f>
        <v>0.911764705882353</v>
      </c>
      <c r="H21" s="53" t="str">
        <f aca="false">REPT("|",ROUND(I21*30,0))</f>
        <v/>
      </c>
      <c r="I21" s="52" t="n">
        <f aca="false">COUNTIFS(Responses!$X$2:$X$500,"desktop",Responses!$CD$2:$CD$500,"S1 Deadline Sprinters")/'2-Segments'!$C$17</f>
        <v>0</v>
      </c>
      <c r="J21" s="41"/>
    </row>
    <row r="22" customFormat="false" ht="21.75" hidden="false" customHeight="true" outlineLevel="0" collapsed="false">
      <c r="B22" s="54" t="s">
        <v>1294</v>
      </c>
      <c r="C22" s="54"/>
      <c r="D22" s="46"/>
      <c r="E22" s="46"/>
      <c r="F22" s="49" t="s">
        <v>1295</v>
      </c>
      <c r="G22" s="49"/>
      <c r="H22" s="47" t="s">
        <v>1296</v>
      </c>
      <c r="I22" s="47"/>
      <c r="J22" s="41"/>
    </row>
    <row r="23" customFormat="false" ht="21.75" hidden="false" customHeight="true" outlineLevel="0" collapsed="false">
      <c r="B23" s="48"/>
      <c r="C23" s="48"/>
      <c r="D23" s="46"/>
      <c r="E23" s="46"/>
      <c r="F23" s="51" t="str">
        <f aca="false">REPT("|",ROUND(G23*30,0))</f>
        <v>|||||||||||</v>
      </c>
      <c r="G23" s="52" t="n">
        <f aca="false">COUNTIFS(Responses!$AH$2:$AH$500,1,Responses!$CD$2:$CD$500,"S1 Deadline Sprinters")/'2-Segments'!$C$17</f>
        <v>0.382352941176471</v>
      </c>
      <c r="H23" s="47"/>
      <c r="I23" s="47"/>
      <c r="J23" s="41"/>
    </row>
    <row r="26" customFormat="false" ht="19.5" hidden="false" customHeight="true" outlineLevel="0" collapsed="false">
      <c r="A26" s="3" t="s">
        <v>1297</v>
      </c>
      <c r="B26" s="4"/>
      <c r="C26" s="4"/>
      <c r="D26" s="4"/>
      <c r="E26" s="4"/>
      <c r="F26" s="4"/>
      <c r="G26" s="4"/>
      <c r="H26" s="4"/>
      <c r="I26" s="4"/>
      <c r="J26" s="4"/>
    </row>
    <row r="27" customFormat="false" ht="15" hidden="false" customHeight="true" outlineLevel="0" collapsed="false">
      <c r="B27" s="19" t="s">
        <v>1298</v>
      </c>
      <c r="C27" s="19"/>
      <c r="D27" s="19"/>
      <c r="E27" s="19" t="s">
        <v>1299</v>
      </c>
      <c r="F27" s="19"/>
      <c r="G27" s="19" t="s">
        <v>1081</v>
      </c>
      <c r="H27" s="19" t="s">
        <v>1300</v>
      </c>
      <c r="I27" s="19"/>
      <c r="J27" s="19" t="s">
        <v>1301</v>
      </c>
    </row>
    <row r="28" customFormat="false" ht="30" hidden="false" customHeight="true" outlineLevel="0" collapsed="false">
      <c r="B28" s="8" t="s">
        <v>1302</v>
      </c>
      <c r="C28" s="8"/>
      <c r="D28" s="8"/>
      <c r="E28" s="8" t="s">
        <v>1303</v>
      </c>
      <c r="F28" s="8"/>
      <c r="G28" s="55" t="n">
        <f aca="false">COUNTIFS(Responses!$C$2:$C$500,"bsc",Responses!$CD$2:$CD$500,"S1 Deadline Sprinters")/'2-Segments'!$C$17</f>
        <v>0.735294117647059</v>
      </c>
      <c r="H28" s="21" t="n">
        <f aca="false">COUNTIF(Responses!$C$2:$C$500,"bsc")/'1-Patterns'!$C$4</f>
        <v>0.330645161290323</v>
      </c>
      <c r="I28" s="21"/>
      <c r="J28" s="20" t="s">
        <v>83</v>
      </c>
    </row>
    <row r="29" customFormat="false" ht="30" hidden="false" customHeight="true" outlineLevel="0" collapsed="false">
      <c r="B29" s="8"/>
      <c r="C29" s="8"/>
      <c r="D29" s="8"/>
      <c r="E29" s="8" t="s">
        <v>1304</v>
      </c>
      <c r="F29" s="8"/>
      <c r="G29" s="55" t="n">
        <f aca="false">(COUNTIFS(Responses!$D$2:$D$500,"17-20",Responses!$CD$2:$CD$500,"S1 Deadline Sprinters")+COUNTIFS(Responses!$D$2:$D$500,"21-24",Responses!$CD$2:$CD$500,"S1 Deadline Sprinters"))/'2-Segments'!$C$17</f>
        <v>0.882352941176471</v>
      </c>
      <c r="H29" s="21" t="n">
        <f aca="false">(COUNTIF(Responses!$D$2:$D$500,"17-20")+COUNTIF(Responses!$D$2:$D$500,"21-24"))/'1-Patterns'!$C$4</f>
        <v>0.491935483870968</v>
      </c>
      <c r="I29" s="21"/>
      <c r="J29" s="20" t="s">
        <v>90</v>
      </c>
    </row>
    <row r="30" customFormat="false" ht="30" hidden="false" customHeight="true" outlineLevel="0" collapsed="false">
      <c r="B30" s="8"/>
      <c r="C30" s="8"/>
      <c r="D30" s="8"/>
      <c r="E30" s="8" t="s">
        <v>1305</v>
      </c>
      <c r="F30" s="8"/>
      <c r="G30" s="55" t="n">
        <f aca="false">COUNTIFS(Responses!$E$2:$E$500,"female",Responses!$CD$2:$CD$500,"S1 Deadline Sprinters")/'2-Segments'!$C$17</f>
        <v>0.588235294117647</v>
      </c>
      <c r="H30" s="21" t="n">
        <f aca="false">COUNTIF(Responses!$E$2:$E$500,"female")/'1-Patterns'!$C$4</f>
        <v>0.483870967741936</v>
      </c>
      <c r="I30" s="21"/>
      <c r="J30" s="20" t="s">
        <v>95</v>
      </c>
    </row>
    <row r="31" customFormat="false" ht="30" hidden="false" customHeight="true" outlineLevel="0" collapsed="false">
      <c r="B31" s="8" t="s">
        <v>1306</v>
      </c>
      <c r="C31" s="8"/>
      <c r="D31" s="8"/>
      <c r="E31" s="8" t="s">
        <v>1307</v>
      </c>
      <c r="F31" s="8"/>
      <c r="G31" s="55" t="n">
        <f aca="false">(COUNTIFS(Responses!$I$2:$I$500,"1-8",Responses!$CD$2:$CD$500,"S1 Deadline Sprinters")+COUNTIFS(Responses!$I$2:$I$500,"9-16",Responses!$CD$2:$CD$500,"S1 Deadline Sprinters"))/'2-Segments'!$C$17</f>
        <v>0.764705882352941</v>
      </c>
      <c r="H31" s="21" t="n">
        <f aca="false">(COUNTIF(Responses!$I$2:$I$500,"1-8")+COUNTIF(Responses!$I$2:$I$500,"9-16"))/'1-Patterns'!$C$4</f>
        <v>0.524193548387097</v>
      </c>
      <c r="I31" s="21"/>
      <c r="J31" s="20" t="s">
        <v>116</v>
      </c>
    </row>
    <row r="32" customFormat="false" ht="30" hidden="false" customHeight="true" outlineLevel="0" collapsed="false">
      <c r="B32" s="8" t="s">
        <v>1308</v>
      </c>
      <c r="C32" s="8"/>
      <c r="D32" s="8"/>
      <c r="E32" s="8" t="s">
        <v>1309</v>
      </c>
      <c r="F32" s="8"/>
      <c r="G32" s="56" t="n">
        <f aca="false">AVERAGEIFS(Responses!$CA$2:$CA$500,Responses!$CD$2:$CD$500,"S1 Deadline Sprinters")</f>
        <v>3.94117647058824</v>
      </c>
      <c r="H32" s="23" t="n">
        <f aca="false">AVERAGE(Responses!$CA$2:$CA$500)</f>
        <v>3.05645161290323</v>
      </c>
      <c r="I32" s="23"/>
      <c r="J32" s="20" t="s">
        <v>110</v>
      </c>
    </row>
    <row r="33" customFormat="false" ht="30" hidden="false" customHeight="true" outlineLevel="0" collapsed="false">
      <c r="B33" s="8" t="s">
        <v>1310</v>
      </c>
      <c r="C33" s="8"/>
      <c r="D33" s="8"/>
      <c r="E33" s="8" t="s">
        <v>1194</v>
      </c>
      <c r="F33" s="8"/>
      <c r="G33" s="55" t="n">
        <f aca="false">(COUNTIFS(Responses!$R$2:$R$500,"daily",Responses!$CD$2:$CD$500,"S1 Deadline Sprinters")+COUNTIFS(Responses!$R$2:$R$500,"several",Responses!$CD$2:$CD$500,"S1 Deadline Sprinters"))/'2-Segments'!$C$17</f>
        <v>0.882352941176471</v>
      </c>
      <c r="H33" s="21" t="n">
        <f aca="false">(COUNTIF(Responses!$R$2:$R$500,"daily")+COUNTIF(Responses!$R$2:$R$500,"several"))/'1-Patterns'!$C$4</f>
        <v>0.57258064516129</v>
      </c>
      <c r="I33" s="21"/>
      <c r="J33" s="20" t="s">
        <v>136</v>
      </c>
    </row>
    <row r="34" customFormat="false" ht="30" hidden="false" customHeight="true" outlineLevel="0" collapsed="false">
      <c r="B34" s="8" t="s">
        <v>1311</v>
      </c>
      <c r="C34" s="8"/>
      <c r="D34" s="8"/>
      <c r="E34" s="8" t="s">
        <v>1312</v>
      </c>
      <c r="F34" s="8"/>
      <c r="G34" s="55" t="n">
        <f aca="false">COUNTIFS(Responses!$X$2:$X$500,"phone",Responses!$CD$2:$CD$500,"S1 Deadline Sprinters")/'2-Segments'!$C$17</f>
        <v>0.794117647058824</v>
      </c>
      <c r="H34" s="21" t="n">
        <f aca="false">COUNTIF(Responses!$X$2:$X$500,"phone")/'1-Patterns'!$C$4</f>
        <v>0.258064516129032</v>
      </c>
      <c r="I34" s="21"/>
      <c r="J34" s="20" t="s">
        <v>148</v>
      </c>
    </row>
    <row r="35" customFormat="false" ht="30" hidden="false" customHeight="true" outlineLevel="0" collapsed="false">
      <c r="B35" s="8"/>
      <c r="C35" s="8"/>
      <c r="D35" s="8"/>
      <c r="E35" s="8" t="s">
        <v>1313</v>
      </c>
      <c r="F35" s="8"/>
      <c r="G35" s="55" t="n">
        <f aca="false">COUNTIFS(Responses!$V$2:$V$500,1,Responses!$CD$2:$CD$500,"S1 Deadline Sprinters")/'2-Segments'!$C$17</f>
        <v>0.911764705882353</v>
      </c>
      <c r="H35" s="21" t="n">
        <f aca="false">COUNTIF(Responses!$V$2:$V$500,1)/'1-Patterns'!$C$4</f>
        <v>0.451612903225806</v>
      </c>
      <c r="I35" s="21"/>
      <c r="J35" s="20" t="s">
        <v>143</v>
      </c>
    </row>
    <row r="36" customFormat="false" ht="30" hidden="false" customHeight="true" outlineLevel="0" collapsed="false">
      <c r="B36" s="8" t="s">
        <v>1314</v>
      </c>
      <c r="C36" s="8"/>
      <c r="D36" s="8"/>
      <c r="E36" s="8" t="s">
        <v>1315</v>
      </c>
      <c r="F36" s="8"/>
      <c r="G36" s="55" t="n">
        <f aca="false">(COUNTIFS(Responses!$Y$2:$Y$500,"lt2",Responses!$CD$2:$CD$500,"S1 Deadline Sprinters")+COUNTIFS(Responses!$Y$2:$Y$500,"2-5",Responses!$CD$2:$CD$500,"S1 Deadline Sprinters"))/'2-Segments'!$C$17</f>
        <v>0.911764705882353</v>
      </c>
      <c r="H36" s="21" t="n">
        <f aca="false">(COUNTIF(Responses!$Y$2:$Y$500,"lt2")+COUNTIF(Responses!$Y$2:$Y$500,"2-5"))/'1-Patterns'!$C$4</f>
        <v>0.298387096774194</v>
      </c>
      <c r="I36" s="21"/>
      <c r="J36" s="20" t="s">
        <v>153</v>
      </c>
    </row>
    <row r="37" customFormat="false" ht="30" hidden="false" customHeight="true" outlineLevel="0" collapsed="false">
      <c r="B37" s="8" t="s">
        <v>1316</v>
      </c>
      <c r="C37" s="8"/>
      <c r="D37" s="8"/>
      <c r="E37" s="8" t="s">
        <v>1317</v>
      </c>
      <c r="F37" s="8"/>
      <c r="G37" s="55" t="n">
        <f aca="false">COUNTIFS(Responses!$AB$2:$AB$500,1,Responses!$CD$2:$CD$500,"S1 Deadline Sprinters")/'2-Segments'!$C$17</f>
        <v>0.941176470588235</v>
      </c>
      <c r="H37" s="21" t="n">
        <f aca="false">COUNTIF(Responses!$AB$2:$AB$500,1)/'1-Patterns'!$C$4</f>
        <v>0.629032258064516</v>
      </c>
      <c r="I37" s="21"/>
      <c r="J37" s="20" t="s">
        <v>159</v>
      </c>
    </row>
    <row r="38" customFormat="false" ht="30" hidden="false" customHeight="true" outlineLevel="0" collapsed="false">
      <c r="B38" s="8" t="s">
        <v>1318</v>
      </c>
      <c r="C38" s="8"/>
      <c r="D38" s="8"/>
      <c r="E38" s="8" t="s">
        <v>1319</v>
      </c>
      <c r="F38" s="8"/>
      <c r="G38" s="55" t="n">
        <f aca="false">COUNTIFS(Responses!$AC$2:$AC$500,1,Responses!$CD$2:$CD$500,"S1 Deadline Sprinters")/'2-Segments'!$C$17</f>
        <v>0.441176470588235</v>
      </c>
      <c r="H38" s="21" t="n">
        <f aca="false">COUNTIF(Responses!$AC$2:$AC$500,1)/'1-Patterns'!$C$4</f>
        <v>0.75</v>
      </c>
      <c r="I38" s="21"/>
      <c r="J38" s="20" t="s">
        <v>159</v>
      </c>
    </row>
    <row r="39" customFormat="false" ht="30" hidden="false" customHeight="true" outlineLevel="0" collapsed="false">
      <c r="B39" s="8" t="s">
        <v>1320</v>
      </c>
      <c r="C39" s="8"/>
      <c r="D39" s="8"/>
      <c r="E39" s="8" t="s">
        <v>1321</v>
      </c>
      <c r="F39" s="8"/>
      <c r="G39" s="56" t="n">
        <f aca="false">AVERAGEIFS(Responses!$BO$2:$BO$500,Responses!$CD$2:$CD$500,"S1 Deadline Sprinters")</f>
        <v>1.44117647058824</v>
      </c>
      <c r="H39" s="23" t="n">
        <f aca="false">AVERAGE(Responses!$BO$2:$BO$500)</f>
        <v>2.40322580645161</v>
      </c>
      <c r="I39" s="23"/>
      <c r="J39" s="20" t="s">
        <v>241</v>
      </c>
    </row>
    <row r="40" customFormat="false" ht="30" hidden="false" customHeight="true" outlineLevel="0" collapsed="false">
      <c r="B40" s="8"/>
      <c r="C40" s="8"/>
      <c r="D40" s="8"/>
      <c r="E40" s="8" t="s">
        <v>1322</v>
      </c>
      <c r="F40" s="8"/>
      <c r="G40" s="56" t="n">
        <f aca="false">AVERAGEIFS(Responses!$BP$2:$BP$500,Responses!$CD$2:$CD$500,"S1 Deadline Sprinters")</f>
        <v>1.88235294117647</v>
      </c>
      <c r="H40" s="23" t="n">
        <f aca="false">AVERAGE(Responses!$BP$2:$BP$500)</f>
        <v>2.98387096774194</v>
      </c>
      <c r="I40" s="23"/>
      <c r="J40" s="20" t="s">
        <v>241</v>
      </c>
    </row>
    <row r="41" customFormat="false" ht="30" hidden="false" customHeight="true" outlineLevel="0" collapsed="false">
      <c r="B41" s="8" t="s">
        <v>1323</v>
      </c>
      <c r="C41" s="8"/>
      <c r="D41" s="8"/>
      <c r="E41" s="8" t="s">
        <v>1324</v>
      </c>
      <c r="F41" s="8"/>
      <c r="G41" s="55" t="n">
        <f aca="false">COUNTIFS(Responses!$AP$2:$AP$500,1,Responses!$CD$2:$CD$500,"S1 Deadline Sprinters")/'2-Segments'!$C$17</f>
        <v>0.705882352941177</v>
      </c>
      <c r="H41" s="21" t="n">
        <f aca="false">COUNTIF(Responses!$AP$2:$AP$500,1)/'1-Patterns'!$C$4</f>
        <v>0.395161290322581</v>
      </c>
      <c r="I41" s="21"/>
      <c r="J41" s="20" t="s">
        <v>164</v>
      </c>
    </row>
    <row r="42" customFormat="false" ht="30" hidden="false" customHeight="true" outlineLevel="0" collapsed="false">
      <c r="B42" s="8"/>
      <c r="C42" s="8"/>
      <c r="D42" s="8"/>
      <c r="E42" s="8" t="s">
        <v>1325</v>
      </c>
      <c r="F42" s="8"/>
      <c r="G42" s="55" t="n">
        <f aca="false">COUNTIFS(Responses!$AN$2:$AN$500,1,Responses!$CD$2:$CD$500,"S1 Deadline Sprinters")/'2-Segments'!$C$17</f>
        <v>0.529411764705882</v>
      </c>
      <c r="H42" s="21" t="n">
        <f aca="false">COUNTIF(Responses!$AN$2:$AN$500,1)/'1-Patterns'!$C$4</f>
        <v>0.185483870967742</v>
      </c>
      <c r="I42" s="21"/>
      <c r="J42" s="20" t="s">
        <v>164</v>
      </c>
    </row>
    <row r="43" customFormat="false" ht="30" hidden="false" customHeight="true" outlineLevel="0" collapsed="false">
      <c r="B43" s="8" t="s">
        <v>1326</v>
      </c>
      <c r="C43" s="8"/>
      <c r="D43" s="8"/>
      <c r="E43" s="8" t="s">
        <v>1327</v>
      </c>
      <c r="F43" s="8"/>
      <c r="G43" s="55" t="n">
        <f aca="false">COUNTIFS(Responses!$AY$2:$AY$500,1,Responses!$CD$2:$CD$500,"S1 Deadline Sprinters")/'2-Segments'!$C$17</f>
        <v>0.911764705882353</v>
      </c>
      <c r="H43" s="21" t="n">
        <f aca="false">COUNTIF(Responses!$AY$2:$AY$500,1)/'1-Patterns'!$C$4</f>
        <v>0.604838709677419</v>
      </c>
      <c r="I43" s="21"/>
      <c r="J43" s="20" t="s">
        <v>180</v>
      </c>
    </row>
    <row r="44" customFormat="false" ht="30" hidden="false" customHeight="true" outlineLevel="0" collapsed="false">
      <c r="B44" s="8" t="s">
        <v>1328</v>
      </c>
      <c r="C44" s="8"/>
      <c r="D44" s="8"/>
      <c r="E44" s="8" t="s">
        <v>1329</v>
      </c>
      <c r="F44" s="8"/>
      <c r="G44" s="56" t="n">
        <f aca="false">AVERAGEIFS(Responses!$BE$2:$BE$500,Responses!$CD$2:$CD$500,"S1 Deadline Sprinters")</f>
        <v>5.32352941176471</v>
      </c>
      <c r="H44" s="23" t="n">
        <f aca="false">AVERAGE(Responses!$BE$2:$BE$500)</f>
        <v>5.07258064516129</v>
      </c>
      <c r="I44" s="23"/>
      <c r="J44" s="20" t="s">
        <v>201</v>
      </c>
    </row>
    <row r="45" customFormat="false" ht="30" hidden="false" customHeight="true" outlineLevel="0" collapsed="false">
      <c r="B45" s="8"/>
      <c r="C45" s="8"/>
      <c r="D45" s="8"/>
      <c r="E45" s="8" t="s">
        <v>1330</v>
      </c>
      <c r="F45" s="8"/>
      <c r="G45" s="56" t="n">
        <f aca="false">AVERAGEIFS(Responses!$BD$2:$BD$500,Responses!$CD$2:$CD$500,"S1 Deadline Sprinters")</f>
        <v>4.82352941176471</v>
      </c>
      <c r="H45" s="23" t="n">
        <f aca="false">AVERAGE(Responses!$BD$2:$BD$500)</f>
        <v>3.99193548387097</v>
      </c>
      <c r="I45" s="23"/>
      <c r="J45" s="20" t="s">
        <v>197</v>
      </c>
    </row>
    <row r="46" customFormat="false" ht="30" hidden="false" customHeight="true" outlineLevel="0" collapsed="false">
      <c r="B46" s="8" t="s">
        <v>1331</v>
      </c>
      <c r="C46" s="8"/>
      <c r="D46" s="8"/>
      <c r="E46" s="8" t="s">
        <v>1332</v>
      </c>
      <c r="F46" s="8"/>
      <c r="G46" s="56" t="n">
        <f aca="false">AVERAGEIFS(Responses!$BF$2:$BF$500,Responses!$CD$2:$CD$500,"S1 Deadline Sprinters")</f>
        <v>2.79411764705882</v>
      </c>
      <c r="H46" s="23" t="n">
        <f aca="false">AVERAGE(Responses!$BF$2:$BF$500)</f>
        <v>3.2741935483871</v>
      </c>
      <c r="I46" s="23"/>
      <c r="J46" s="20" t="s">
        <v>205</v>
      </c>
    </row>
    <row r="47" customFormat="false" ht="30" hidden="false" customHeight="true" outlineLevel="0" collapsed="false">
      <c r="B47" s="8" t="s">
        <v>1333</v>
      </c>
      <c r="C47" s="8"/>
      <c r="D47" s="8"/>
      <c r="E47" s="8" t="s">
        <v>1334</v>
      </c>
      <c r="F47" s="8"/>
      <c r="G47" s="56" t="n">
        <f aca="false">AVERAGEIFS(Responses!$BH$2:$BH$500,Responses!$CD$2:$CD$500,"S1 Deadline Sprinters")</f>
        <v>3.76470588235294</v>
      </c>
      <c r="H47" s="23" t="n">
        <f aca="false">AVERAGE(Responses!$BH$2:$BH$500)</f>
        <v>4.29032258064516</v>
      </c>
      <c r="I47" s="23"/>
      <c r="J47" s="20" t="s">
        <v>213</v>
      </c>
    </row>
    <row r="48" customFormat="false" ht="30" hidden="false" customHeight="true" outlineLevel="0" collapsed="false">
      <c r="B48" s="8" t="s">
        <v>1335</v>
      </c>
      <c r="C48" s="8"/>
      <c r="D48" s="8"/>
      <c r="E48" s="8" t="s">
        <v>1336</v>
      </c>
      <c r="F48" s="8"/>
      <c r="G48" s="56" t="n">
        <f aca="false">AVERAGEIFS(Responses!$BG$2:$BG$500,Responses!$CD$2:$CD$500,"S1 Deadline Sprinters")</f>
        <v>3.58823529411765</v>
      </c>
      <c r="H48" s="23" t="n">
        <f aca="false">AVERAGE(Responses!$BG$2:$BG$500)</f>
        <v>3.08870967741936</v>
      </c>
      <c r="I48" s="23"/>
      <c r="J48" s="20" t="s">
        <v>209</v>
      </c>
    </row>
    <row r="49" customFormat="false" ht="30" hidden="false" customHeight="true" outlineLevel="0" collapsed="false">
      <c r="B49" s="8" t="s">
        <v>1337</v>
      </c>
      <c r="C49" s="8"/>
      <c r="D49" s="8"/>
      <c r="E49" s="8" t="s">
        <v>1338</v>
      </c>
      <c r="F49" s="8"/>
      <c r="G49" s="56" t="n">
        <f aca="false">AVERAGEIFS(Responses!$BI$2:$BI$500,Responses!$CD$2:$CD$500,"S1 Deadline Sprinters")</f>
        <v>5.55882352941176</v>
      </c>
      <c r="H49" s="23" t="n">
        <f aca="false">AVERAGE(Responses!$BI$2:$BI$500)</f>
        <v>4.91935483870968</v>
      </c>
      <c r="I49" s="23"/>
      <c r="J49" s="20" t="s">
        <v>217</v>
      </c>
    </row>
    <row r="50" customFormat="false" ht="30" hidden="false" customHeight="true" outlineLevel="0" collapsed="false">
      <c r="B50" s="8"/>
      <c r="C50" s="8"/>
      <c r="D50" s="8"/>
      <c r="E50" s="8" t="s">
        <v>1339</v>
      </c>
      <c r="F50" s="8"/>
      <c r="G50" s="56" t="n">
        <f aca="false">AVERAGEIFS(Responses!$Q$2:$Q$500,Responses!$CD$2:$CD$500,"S1 Deadline Sprinters")</f>
        <v>5.26470588235294</v>
      </c>
      <c r="H50" s="23" t="n">
        <f aca="false">AVERAGE(Responses!$Q$2:$Q$500)</f>
        <v>5.05645161290323</v>
      </c>
      <c r="I50" s="23"/>
      <c r="J50" s="20" t="s">
        <v>129</v>
      </c>
    </row>
    <row r="51" customFormat="false" ht="30" hidden="false" customHeight="true" outlineLevel="0" collapsed="false">
      <c r="B51" s="8" t="s">
        <v>1340</v>
      </c>
      <c r="C51" s="8"/>
      <c r="D51" s="8"/>
      <c r="E51" s="8" t="s">
        <v>1341</v>
      </c>
      <c r="F51" s="8"/>
      <c r="G51" s="56" t="n">
        <f aca="false">AVERAGEIFS(Responses!$BL$2:$BL$500,Responses!$CD$2:$CD$500,"S1 Deadline Sprinters")</f>
        <v>4.64705882352941</v>
      </c>
      <c r="H51" s="23" t="n">
        <f aca="false">AVERAGE(Responses!$BL$2:$BL$500)</f>
        <v>3.74193548387097</v>
      </c>
      <c r="I51" s="23"/>
      <c r="J51" s="20" t="s">
        <v>229</v>
      </c>
    </row>
    <row r="53" customFormat="false" ht="19.5" hidden="false" customHeight="true" outlineLevel="0" collapsed="false">
      <c r="A53" s="3" t="s">
        <v>1342</v>
      </c>
      <c r="B53" s="4"/>
      <c r="C53" s="4"/>
      <c r="D53" s="4"/>
      <c r="E53" s="4"/>
      <c r="F53" s="4"/>
      <c r="G53" s="4"/>
      <c r="H53" s="4"/>
      <c r="I53" s="4"/>
      <c r="J53" s="4"/>
    </row>
    <row r="54" customFormat="false" ht="31.5" hidden="false" customHeight="true" outlineLevel="0" collapsed="false">
      <c r="B54" s="57" t="s">
        <v>1343</v>
      </c>
      <c r="C54" s="57"/>
      <c r="D54" s="57"/>
      <c r="E54" s="8" t="s">
        <v>1344</v>
      </c>
      <c r="F54" s="8"/>
      <c r="G54" s="8"/>
      <c r="H54" s="8"/>
      <c r="I54" s="8"/>
      <c r="J54" s="8"/>
    </row>
    <row r="55" customFormat="false" ht="31.5" hidden="false" customHeight="true" outlineLevel="0" collapsed="false">
      <c r="B55" s="57" t="s">
        <v>1345</v>
      </c>
      <c r="C55" s="57"/>
      <c r="D55" s="57"/>
      <c r="E55" s="8" t="s">
        <v>1346</v>
      </c>
      <c r="F55" s="8"/>
      <c r="G55" s="8"/>
      <c r="H55" s="8"/>
      <c r="I55" s="8"/>
      <c r="J55" s="8"/>
    </row>
    <row r="56" customFormat="false" ht="31.5" hidden="false" customHeight="true" outlineLevel="0" collapsed="false">
      <c r="B56" s="57" t="s">
        <v>1347</v>
      </c>
      <c r="C56" s="57"/>
      <c r="D56" s="57"/>
      <c r="E56" s="8" t="s">
        <v>1348</v>
      </c>
      <c r="F56" s="8"/>
      <c r="G56" s="8"/>
      <c r="H56" s="8"/>
      <c r="I56" s="8"/>
      <c r="J56" s="8"/>
    </row>
    <row r="57" customFormat="false" ht="31.5" hidden="false" customHeight="true" outlineLevel="0" collapsed="false">
      <c r="B57" s="57" t="s">
        <v>1349</v>
      </c>
      <c r="C57" s="57"/>
      <c r="D57" s="57"/>
      <c r="E57" s="8" t="s">
        <v>1350</v>
      </c>
      <c r="F57" s="8"/>
      <c r="G57" s="8"/>
      <c r="H57" s="8"/>
      <c r="I57" s="8"/>
      <c r="J57" s="8"/>
    </row>
    <row r="59" customFormat="false" ht="15" hidden="false" customHeight="true" outlineLevel="0" collapsed="false">
      <c r="B59" s="57" t="s">
        <v>1351</v>
      </c>
      <c r="C59" s="57"/>
      <c r="D59" s="57"/>
    </row>
    <row r="60" customFormat="false" ht="15" hidden="false" customHeight="true" outlineLevel="0" collapsed="false">
      <c r="B60" s="8" t="s">
        <v>1352</v>
      </c>
      <c r="C60" s="8"/>
      <c r="D60" s="8"/>
      <c r="E60" s="8"/>
      <c r="F60" s="8"/>
      <c r="G60" s="8"/>
      <c r="H60" s="8"/>
      <c r="I60" s="8"/>
      <c r="J60" s="8"/>
    </row>
    <row r="61" customFormat="false" ht="15" hidden="false" customHeight="true" outlineLevel="0" collapsed="false">
      <c r="B61" s="8" t="s">
        <v>1353</v>
      </c>
      <c r="C61" s="8"/>
      <c r="D61" s="8"/>
      <c r="E61" s="8"/>
      <c r="F61" s="8"/>
      <c r="G61" s="8"/>
      <c r="H61" s="8"/>
      <c r="I61" s="8"/>
      <c r="J61" s="8"/>
    </row>
    <row r="62" customFormat="false" ht="15" hidden="false" customHeight="true" outlineLevel="0" collapsed="false">
      <c r="B62" s="8" t="s">
        <v>1354</v>
      </c>
      <c r="C62" s="8"/>
      <c r="D62" s="8"/>
      <c r="E62" s="8"/>
      <c r="F62" s="8"/>
      <c r="G62" s="8"/>
      <c r="H62" s="8"/>
      <c r="I62" s="8"/>
      <c r="J62" s="8"/>
    </row>
    <row r="63" customFormat="false" ht="15" hidden="false" customHeight="true" outlineLevel="0" collapsed="false">
      <c r="B63" s="8" t="s">
        <v>1355</v>
      </c>
      <c r="C63" s="8"/>
      <c r="D63" s="8"/>
      <c r="E63" s="8"/>
      <c r="F63" s="8"/>
      <c r="G63" s="8"/>
      <c r="H63" s="8"/>
      <c r="I63" s="8"/>
      <c r="J63" s="8"/>
    </row>
    <row r="64" customFormat="false" ht="15" hidden="false" customHeight="true" outlineLevel="0" collapsed="false">
      <c r="B64" s="8" t="s">
        <v>1356</v>
      </c>
      <c r="C64" s="8"/>
      <c r="D64" s="8"/>
      <c r="E64" s="8"/>
      <c r="F64" s="8"/>
      <c r="G64" s="8"/>
      <c r="H64" s="8"/>
      <c r="I64" s="8"/>
      <c r="J64" s="8"/>
    </row>
    <row r="66" customFormat="false" ht="19.5" hidden="false" customHeight="true" outlineLevel="0" collapsed="false">
      <c r="A66" s="3" t="s">
        <v>1357</v>
      </c>
      <c r="B66" s="4"/>
      <c r="C66" s="4"/>
      <c r="D66" s="4"/>
      <c r="E66" s="4"/>
      <c r="F66" s="4"/>
      <c r="G66" s="4"/>
      <c r="H66" s="4"/>
      <c r="I66" s="4"/>
      <c r="J66" s="4"/>
    </row>
    <row r="67" customFormat="false" ht="15" hidden="false" customHeight="true" outlineLevel="0" collapsed="false">
      <c r="B67" s="19" t="s">
        <v>607</v>
      </c>
      <c r="C67" s="19" t="s">
        <v>1137</v>
      </c>
      <c r="D67" s="19" t="s">
        <v>1358</v>
      </c>
      <c r="E67" s="19"/>
      <c r="F67" s="19" t="s">
        <v>1359</v>
      </c>
      <c r="G67" s="19"/>
      <c r="H67" s="19" t="s">
        <v>1360</v>
      </c>
      <c r="I67" s="19"/>
      <c r="J67" s="19" t="s">
        <v>1361</v>
      </c>
    </row>
    <row r="68" customFormat="false" ht="57.75" hidden="false" customHeight="true" outlineLevel="0" collapsed="false">
      <c r="B68" s="33" t="s">
        <v>620</v>
      </c>
      <c r="C68" s="20" t="n">
        <f aca="false">COUNTIF(Responses!$CD$2:$CD$500,"S2 Structured Scholars")</f>
        <v>29</v>
      </c>
      <c r="D68" s="8" t="s">
        <v>1362</v>
      </c>
      <c r="E68" s="8"/>
      <c r="F68" s="8" t="s">
        <v>1363</v>
      </c>
      <c r="G68" s="8"/>
      <c r="H68" s="8" t="str">
        <f aca="false">"Consistency "&amp;TEXT(AVERAGEIFS(Responses!$BG$2:$BG$500,Responses!$CD$2:$CD$500,"S2 Structured Scholars"),"0.0")&amp;"/7 · Modules "&amp;TEXT(COUNTIFS(Responses!$AC$2:$AC$500,1,Responses!$CD$2:$CD$500,"S2 Structured Scholars")/'2-Segments'!$C$18,"0%")&amp;" · Notes app "&amp;TEXT(COUNTIFS(Responses!$AX$2:$AX$500,1,Responses!$CD$2:$CD$500,"S2 Structured Scholars")/'2-Segments'!$C$18,"0%")</f>
        <v>Consistency 2.4/7 · Modules 93% · Notes app 79%</v>
      </c>
      <c r="I68" s="8"/>
      <c r="J68" s="8" t="s">
        <v>1364</v>
      </c>
    </row>
    <row r="69" customFormat="false" ht="57.75" hidden="false" customHeight="true" outlineLevel="0" collapsed="false">
      <c r="B69" s="33" t="s">
        <v>648</v>
      </c>
      <c r="C69" s="20" t="n">
        <f aca="false">COUNTIF(Responses!$CD$2:$CD$500,"S3 Overloaded Jugglers")</f>
        <v>20</v>
      </c>
      <c r="D69" s="8" t="s">
        <v>1365</v>
      </c>
      <c r="E69" s="8"/>
      <c r="F69" s="8" t="s">
        <v>1366</v>
      </c>
      <c r="G69" s="8"/>
      <c r="H69" s="8" t="str">
        <f aca="false">"17+ h outside "&amp;TEXT((COUNTIFS(Responses!$I$2:$I$500,"17-24",Responses!$CD$2:$CD$500,"S3 Overloaded Jugglers")+COUNTIFS(Responses!$I$2:$I$500,"25+",Responses!$CD$2:$CD$500,"S3 Overloaded Jugglers"))/'2-Segments'!$C$19,"0%")&amp;" · missed deadline "&amp;TEXT(COUNTIFS(Responses!$AS$2:$AS$500,1,Responses!$CD$2:$CD$500,"S3 Overloaded Jugglers")/'2-Segments'!$C$19,"0%")&amp;" · freq "&amp;TEXT(AVERAGEIFS(Responses!$BW$2:$BW$500,Responses!$CD$2:$CD$500,"S3 Overloaded Jugglers"),"0.0")&amp;"/6"</f>
        <v>17+ h outside 95% · missed deadline 25% · freq 3.2/6</v>
      </c>
      <c r="I69" s="8"/>
      <c r="J69" s="8" t="s">
        <v>1367</v>
      </c>
    </row>
    <row r="70" customFormat="false" ht="57.75" hidden="false" customHeight="true" outlineLevel="0" collapsed="false">
      <c r="B70" s="33" t="s">
        <v>614</v>
      </c>
      <c r="C70" s="20" t="n">
        <f aca="false">COUNTIF(Responses!$CD$2:$CD$500,"S4 Power Instructors")</f>
        <v>17</v>
      </c>
      <c r="D70" s="8" t="s">
        <v>1368</v>
      </c>
      <c r="E70" s="8"/>
      <c r="F70" s="8" t="s">
        <v>1369</v>
      </c>
      <c r="G70" s="8"/>
      <c r="H70" s="8" t="str">
        <f aca="false">"Daily "&amp;TEXT((COUNTIFS(Responses!$R$2:$R$500,"daily",Responses!$CD$2:$CD$500,"S4 Power Instructors")+COUNTIFS(Responses!$R$2:$R$500,"several",Responses!$CD$2:$CD$500,"S4 Power Instructors"))/'2-Segments'!$C$20,"0%")&amp;" · notif. noise "&amp;TEXT(AVERAGEIFS(Responses!$BE$2:$BE$500,Responses!$CD$2:$CD$500,"S4 Power Instructors"),"0.0")&amp;"/7 · group support "&amp;TEXT(AVERAGEIFS(Responses!$BK$2:$BK$500,Responses!$CD$2:$CD$500,"S4 Power Instructors"),"0.0")&amp;"/7"</f>
        <v>Daily 100% · notif. noise 5.4/7 · group support 3.2/7</v>
      </c>
      <c r="I70" s="8"/>
      <c r="J70" s="8" t="s">
        <v>1370</v>
      </c>
    </row>
    <row r="71" customFormat="false" ht="57.75" hidden="false" customHeight="true" outlineLevel="0" collapsed="false">
      <c r="B71" s="33" t="s">
        <v>631</v>
      </c>
      <c r="C71" s="20" t="n">
        <f aca="false">COUNTIF(Responses!$CD$2:$CD$500,"S5 Reluctant Instructors")</f>
        <v>15</v>
      </c>
      <c r="D71" s="8" t="s">
        <v>1371</v>
      </c>
      <c r="E71" s="8"/>
      <c r="F71" s="8" t="s">
        <v>1372</v>
      </c>
      <c r="G71" s="8"/>
      <c r="H71" s="8" t="str">
        <f aca="false">"Confidence "&amp;TEXT(AVERAGEIFS(Responses!$BI$2:$BI$500,Responses!$CD$2:$CD$500,"S5 Reluctant Instructors"),"0.0")&amp;"/7 · last task ease "&amp;TEXT(AVERAGEIFS(Responses!$BM$2:$BM$500,Responses!$CD$2:$CD$500,"S5 Reluctant Instructors"),"0.0")&amp;"/5 · e-mail as tool "&amp;TEXT(COUNTIFS(Responses!$AZ$2:$AZ$500,1,Responses!$CD$2:$CD$500,"S5 Reluctant Instructors")/'2-Segments'!$C$21,"0%")</f>
        <v>Confidence 2.2/7 · last task ease 1.6/5 · e-mail as tool 93%</v>
      </c>
      <c r="I71" s="8"/>
      <c r="J71" s="8" t="s">
        <v>1373</v>
      </c>
    </row>
    <row r="72" customFormat="false" ht="57.75" hidden="false" customHeight="true" outlineLevel="0" collapsed="false">
      <c r="B72" s="33" t="s">
        <v>671</v>
      </c>
      <c r="C72" s="20" t="n">
        <f aca="false">COUNTIF(Responses!$CD$2:$CD$500,"S6 Access-First Learners")</f>
        <v>9</v>
      </c>
      <c r="D72" s="8" t="s">
        <v>1374</v>
      </c>
      <c r="E72" s="8"/>
      <c r="F72" s="8" t="s">
        <v>1375</v>
      </c>
      <c r="G72" s="8"/>
      <c r="H72" s="8" t="str">
        <f aca="false">"Readable "&amp;TEXT(AVERAGEIFS(Responses!$BJ$2:$BJ$500,Responses!$CD$2:$CD$500,"S6 Access-First Learners"),"0.0")&amp;"/7 · findability "&amp;TEXT(AVERAGEIFS(Responses!$BB$2:$BB$500,Responses!$CD$2:$CD$500,"S6 Access-First Learners"),"0.0")&amp;"/7 · satisfaction "&amp;TEXT(AVERAGEIFS(Responses!$BL$2:$BL$500,Responses!$CD$2:$CD$500,"S6 Access-First Learners"),"0.0")&amp;"/7"</f>
        <v>Readable 2.1/7 · findability 2.0/7 · satisfaction 2.3/7</v>
      </c>
      <c r="I72" s="8"/>
      <c r="J72" s="8" t="s">
        <v>1376</v>
      </c>
    </row>
    <row r="74" customFormat="false" ht="126.85" hidden="false" customHeight="false" outlineLevel="0" collapsed="false">
      <c r="B74" s="26" t="s">
        <v>1377</v>
      </c>
    </row>
  </sheetData>
  <mergeCells count="141">
    <mergeCell ref="B2:J2"/>
    <mergeCell ref="B4:C11"/>
    <mergeCell ref="D4:E11"/>
    <mergeCell ref="F4:G4"/>
    <mergeCell ref="H4:I4"/>
    <mergeCell ref="F5:G11"/>
    <mergeCell ref="H5:I11"/>
    <mergeCell ref="J6:J23"/>
    <mergeCell ref="B12:C12"/>
    <mergeCell ref="D12:E12"/>
    <mergeCell ref="F12:G12"/>
    <mergeCell ref="H12:I12"/>
    <mergeCell ref="B13:C13"/>
    <mergeCell ref="D13:E23"/>
    <mergeCell ref="F13:G13"/>
    <mergeCell ref="H13:I13"/>
    <mergeCell ref="F14:G14"/>
    <mergeCell ref="H14:I14"/>
    <mergeCell ref="B15:C15"/>
    <mergeCell ref="B16:C16"/>
    <mergeCell ref="F16:G16"/>
    <mergeCell ref="H16:I16"/>
    <mergeCell ref="B17:C17"/>
    <mergeCell ref="B18:C18"/>
    <mergeCell ref="F18:G18"/>
    <mergeCell ref="H18:I18"/>
    <mergeCell ref="B19:C19"/>
    <mergeCell ref="B20:C20"/>
    <mergeCell ref="F20:G20"/>
    <mergeCell ref="H20:I20"/>
    <mergeCell ref="B21:C21"/>
    <mergeCell ref="B22:C22"/>
    <mergeCell ref="F22:G22"/>
    <mergeCell ref="H22:I23"/>
    <mergeCell ref="B27:D27"/>
    <mergeCell ref="E27:F27"/>
    <mergeCell ref="H27:I27"/>
    <mergeCell ref="B28:D28"/>
    <mergeCell ref="E28:F28"/>
    <mergeCell ref="H28:I28"/>
    <mergeCell ref="B29:D29"/>
    <mergeCell ref="E29:F29"/>
    <mergeCell ref="H29:I29"/>
    <mergeCell ref="B30:D30"/>
    <mergeCell ref="E30:F30"/>
    <mergeCell ref="H30:I30"/>
    <mergeCell ref="B31:D31"/>
    <mergeCell ref="E31:F31"/>
    <mergeCell ref="H31:I31"/>
    <mergeCell ref="B32:D32"/>
    <mergeCell ref="E32:F32"/>
    <mergeCell ref="H32:I32"/>
    <mergeCell ref="B33:D33"/>
    <mergeCell ref="E33:F33"/>
    <mergeCell ref="H33:I33"/>
    <mergeCell ref="B34:D34"/>
    <mergeCell ref="E34:F34"/>
    <mergeCell ref="H34:I34"/>
    <mergeCell ref="B35:D35"/>
    <mergeCell ref="E35:F35"/>
    <mergeCell ref="H35:I35"/>
    <mergeCell ref="B36:D36"/>
    <mergeCell ref="E36:F36"/>
    <mergeCell ref="H36:I36"/>
    <mergeCell ref="B37:D37"/>
    <mergeCell ref="E37:F37"/>
    <mergeCell ref="H37:I37"/>
    <mergeCell ref="B38:D38"/>
    <mergeCell ref="E38:F38"/>
    <mergeCell ref="H38:I38"/>
    <mergeCell ref="B39:D39"/>
    <mergeCell ref="E39:F39"/>
    <mergeCell ref="H39:I39"/>
    <mergeCell ref="B40:D40"/>
    <mergeCell ref="E40:F40"/>
    <mergeCell ref="H40:I40"/>
    <mergeCell ref="B41:D41"/>
    <mergeCell ref="E41:F41"/>
    <mergeCell ref="H41:I41"/>
    <mergeCell ref="B42:D42"/>
    <mergeCell ref="E42:F42"/>
    <mergeCell ref="H42:I42"/>
    <mergeCell ref="B43:D43"/>
    <mergeCell ref="E43:F43"/>
    <mergeCell ref="H43:I43"/>
    <mergeCell ref="B44:D44"/>
    <mergeCell ref="E44:F44"/>
    <mergeCell ref="H44:I44"/>
    <mergeCell ref="B45:D45"/>
    <mergeCell ref="E45:F45"/>
    <mergeCell ref="H45:I45"/>
    <mergeCell ref="B46:D46"/>
    <mergeCell ref="E46:F46"/>
    <mergeCell ref="H46:I46"/>
    <mergeCell ref="B47:D47"/>
    <mergeCell ref="E47:F47"/>
    <mergeCell ref="H47:I47"/>
    <mergeCell ref="B48:D48"/>
    <mergeCell ref="E48:F48"/>
    <mergeCell ref="H48:I48"/>
    <mergeCell ref="B49:D49"/>
    <mergeCell ref="E49:F49"/>
    <mergeCell ref="H49:I49"/>
    <mergeCell ref="B50:D50"/>
    <mergeCell ref="E50:F50"/>
    <mergeCell ref="H50:I50"/>
    <mergeCell ref="B51:D51"/>
    <mergeCell ref="E51:F51"/>
    <mergeCell ref="H51:I51"/>
    <mergeCell ref="B54:D54"/>
    <mergeCell ref="E54:J54"/>
    <mergeCell ref="B55:D55"/>
    <mergeCell ref="E55:J55"/>
    <mergeCell ref="B56:D56"/>
    <mergeCell ref="E56:J56"/>
    <mergeCell ref="B57:D57"/>
    <mergeCell ref="E57:J57"/>
    <mergeCell ref="B59:D59"/>
    <mergeCell ref="B60:J60"/>
    <mergeCell ref="B61:J61"/>
    <mergeCell ref="B62:J62"/>
    <mergeCell ref="B63:J63"/>
    <mergeCell ref="B64:J64"/>
    <mergeCell ref="D67:E67"/>
    <mergeCell ref="F67:G67"/>
    <mergeCell ref="H67:I67"/>
    <mergeCell ref="D68:E68"/>
    <mergeCell ref="F68:G68"/>
    <mergeCell ref="H68:I68"/>
    <mergeCell ref="D69:E69"/>
    <mergeCell ref="F69:G69"/>
    <mergeCell ref="H69:I69"/>
    <mergeCell ref="D70:E70"/>
    <mergeCell ref="F70:G70"/>
    <mergeCell ref="H70:I70"/>
    <mergeCell ref="D71:E71"/>
    <mergeCell ref="F71:G71"/>
    <mergeCell ref="H71:I71"/>
    <mergeCell ref="D72:E72"/>
    <mergeCell ref="F72:G72"/>
    <mergeCell ref="H72:I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2026-09-15T11:18:14Z</dcterms:created>
  <dc:creator>openpyxl</dc:creator>
  <dc:description/>
  <dc:language>en-US</dc:language>
  <cp:lastModifiedBy/>
  <dcterms:modified xsi:type="dcterms:W3CDTF">2026-09-15T11:18:20Z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